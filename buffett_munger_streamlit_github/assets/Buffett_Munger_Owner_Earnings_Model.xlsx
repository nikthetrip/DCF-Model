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3796433e545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3eb637aea32a4f55"/>
    <x:sheet xmlns:r="http://schemas.openxmlformats.org/officeDocument/2006/relationships" name="Assumptions" sheetId="2" r:id="R44435fab118d475c"/>
    <x:sheet xmlns:r="http://schemas.openxmlformats.org/officeDocument/2006/relationships" name="Historical Data" sheetId="3" r:id="R24ea2c6d4daf4dd9"/>
    <x:sheet xmlns:r="http://schemas.openxmlformats.org/officeDocument/2006/relationships" name="Owner Earnings" sheetId="4" r:id="R9216805221654220"/>
    <x:sheet xmlns:r="http://schemas.openxmlformats.org/officeDocument/2006/relationships" name="Quality" sheetId="5" r:id="R52cc5c33dea64c2a"/>
    <x:sheet xmlns:r="http://schemas.openxmlformats.org/officeDocument/2006/relationships" name="DCF" sheetId="6" r:id="Rab3e3acbe78445ba"/>
    <x:sheet xmlns:r="http://schemas.openxmlformats.org/officeDocument/2006/relationships" name="Dashboard" sheetId="7" r:id="R642e0c6f22884d69"/>
    <x:sheet xmlns:r="http://schemas.openxmlformats.org/officeDocument/2006/relationships" name="Google Sheets" sheetId="8" r:id="R8812278ed24541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mm/dd/yyyy"/>
    <x:numFmt numFmtId="201" formatCode="$#,##0.0;[Red]($#,##0.0);-"/>
    <x:numFmt numFmtId="202" formatCode="0.0%;[Red](0.0%);-"/>
    <x:numFmt numFmtId="203" formatCode="0"/>
    <x:numFmt numFmtId="204" formatCode="#,##0.0;[Red](#,##0.0);-"/>
    <x:numFmt numFmtId="205" formatCode="$0.00;[Red]($0.00);-"/>
    <x:numFmt numFmtId="206" formatCode="0.0x;[Red](0.0x);-"/>
    <x:numFmt numFmtId="207" formatCode="0.000x"/>
    <x:numFmt numFmtId="208" formatCode="@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000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6">
    <x:border/>
    <x:border/>
    <x:border>
      <x:bottom style="thin">
        <x:color rgb="FF808080"/>
      </x:bottom>
    </x:border>
    <x:border>
      <x:bottom style="thin">
        <x:color rgb="FF808080"/>
      </x:bottom>
    </x:border>
    <x:border>
      <x:top style="thin">
        <x:color rgb="FF000000"/>
      </x:top>
    </x:border>
    <x:border>
      <x:top style="thin">
        <x:color rgb="FF000000"/>
      </x:top>
    </x:border>
  </x:borders>
  <x:cellStyleXfs count="1">
    <x:xf numFmtId="0" fontId="0" fillId="0" borderId="0"/>
  </x:cellStyleXfs>
  <x:cellXfs count="1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2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203" fontId="4" fillId="5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202" fontId="4" fillId="5" borderId="1" xfId="0" applyNumberFormat="1" applyFont="1" applyFill="1" applyBorder="1" applyAlignment="1">
      <x:alignment wrapText="1"/>
    </x:xf>
    <x:xf numFmtId="201" fontId="4" fillId="5" borderId="1" xfId="0" applyNumberFormat="1" applyFont="1" applyFill="1" applyBorder="1" applyAlignment="1">
      <x:alignment wrapText="1"/>
    </x:xf>
    <x:xf numFmtId="203" fontId="4" fillId="5" borderId="1" xfId="0" applyNumberFormat="1" applyFont="1" applyFill="1" applyBorder="1" applyAlignment="1">
      <x:alignment wrapText="1"/>
    </x:xf>
    <x:xf numFmtId="204" fontId="4" fillId="5" borderId="0" xfId="0" applyNumberFormat="1" applyFont="1" applyFill="1" applyBorder="1"/>
    <x:xf numFmtId="204" fontId="4" fillId="5" borderId="1" xfId="0" applyNumberFormat="1" applyFont="1" applyFill="1" applyBorder="1"/>
    <x:xf numFmtId="205" fontId="4" fillId="5" borderId="0" xfId="0" applyNumberFormat="1" applyFont="1" applyFill="1" applyBorder="1"/>
    <x:xf numFmtId="205" fontId="4" fillId="5" borderId="1" xfId="0" applyNumberFormat="1" applyFont="1" applyFill="1" applyBorder="1"/>
    <x:xf numFmtId="205" fontId="4" fillId="5" borderId="0" xfId="0" applyNumberFormat="1" applyFont="1" applyFill="1" applyBorder="1" applyAlignment="1">
      <x:alignment wrapText="1"/>
    </x:xf>
    <x:xf numFmtId="204" fontId="4" fillId="5" borderId="0" xfId="0" applyNumberFormat="1" applyFont="1" applyFill="1" applyBorder="1" applyAlignment="1">
      <x:alignment wrapText="1"/>
    </x:xf>
    <x:xf numFmtId="205" fontId="4" fillId="5" borderId="1" xfId="0" applyNumberFormat="1" applyFont="1" applyFill="1" applyBorder="1" applyAlignment="1">
      <x:alignment wrapText="1"/>
    </x:xf>
    <x:xf numFmtId="204" fontId="4" fillId="5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5" fontId="6" fillId="0" borderId="0" xfId="0" applyNumberFormat="1" applyFont="1" applyFill="1" applyBorder="1"/>
    <x:xf numFmtId="205" fontId="6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0" fontId="0" fillId="0" borderId="4" xfId="0" applyNumberFormat="1" applyFont="1" applyFill="1" applyBorder="1"/>
    <x:xf numFmtId="201" fontId="6" fillId="0" borderId="4" xfId="0" applyNumberFormat="1" applyFont="1" applyFill="1" applyBorder="1"/>
    <x:xf numFmtId="0" fontId="0" fillId="0" borderId="5" xfId="0" applyNumberFormat="1" applyFont="1" applyFill="1" applyBorder="1"/>
    <x:xf numFmtId="201" fontId="6" fillId="0" borderId="5" xfId="0" applyNumberFormat="1" applyFont="1" applyFill="1" applyBorder="1"/>
    <x:xf numFmtId="205" fontId="5" fillId="0" borderId="0" xfId="0" applyNumberFormat="1" applyFont="1" applyFill="1" applyBorder="1"/>
    <x:xf numFmtId="205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6" fontId="5" fillId="0" borderId="0" xfId="0" applyNumberFormat="1" applyFont="1" applyFill="1" applyBorder="1"/>
    <x:xf numFmtId="206" fontId="5" fillId="0" borderId="1" xfId="0" applyNumberFormat="1" applyFont="1" applyFill="1" applyBorder="1"/>
    <x:xf numFmtId="201" fontId="6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1" fontId="6" fillId="0" borderId="4" xfId="0" applyNumberFormat="1" applyFont="1" applyFill="1" applyBorder="1" applyAlignment="1">
      <x:alignment wrapText="1"/>
    </x:xf>
    <x:xf numFmtId="205" fontId="6" fillId="0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6" fontId="6" fillId="0" borderId="0" xfId="0" applyNumberFormat="1" applyFont="1" applyFill="1" applyBorder="1" applyAlignment="1">
      <x:alignment wrapText="1"/>
    </x:xf>
    <x:xf numFmtId="205" fontId="5" fillId="0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206" fontId="5" fillId="0" borderId="0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1" fontId="6" fillId="0" borderId="5" xfId="0" applyNumberFormat="1" applyFont="1" applyFill="1" applyBorder="1" applyAlignment="1">
      <x:alignment wrapText="1"/>
    </x:xf>
    <x:xf numFmtId="205" fontId="6" fillId="0" borderId="1" xfId="0" applyNumberFormat="1" applyFont="1" applyFill="1" applyBorder="1" applyAlignment="1">
      <x:alignment wrapText="1"/>
    </x:xf>
    <x:xf numFmtId="202" fontId="6" fillId="0" borderId="1" xfId="0" applyNumberFormat="1" applyFont="1" applyFill="1" applyBorder="1" applyAlignment="1">
      <x:alignment wrapText="1"/>
    </x:xf>
    <x:xf numFmtId="206" fontId="6" fillId="0" borderId="1" xfId="0" applyNumberFormat="1" applyFont="1" applyFill="1" applyBorder="1" applyAlignment="1">
      <x:alignment wrapText="1"/>
    </x:xf>
    <x:xf numFmtId="205" fontId="5" fillId="0" borderId="1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206" fontId="5" fillId="0" borderId="1" xfId="0" applyNumberFormat="1" applyFont="1" applyFill="1" applyBorder="1" applyAlignment="1">
      <x:alignment wrapText="1"/>
    </x:xf>
    <x:xf numFmtId="206" fontId="4" fillId="5" borderId="0" xfId="0" applyNumberFormat="1" applyFont="1" applyFill="1" applyBorder="1"/>
    <x:xf numFmtId="206" fontId="4" fillId="5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3" fontId="5" fillId="0" borderId="0" xfId="0" applyNumberFormat="1" applyFont="1" applyFill="1" applyBorder="1" applyAlignment="1">
      <x:alignment wrapText="1"/>
    </x:xf>
    <x:xf numFmtId="206" fontId="4" fillId="5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3" fontId="5" fillId="0" borderId="1" xfId="0" applyNumberFormat="1" applyFont="1" applyFill="1" applyBorder="1" applyAlignment="1">
      <x:alignment wrapText="1"/>
    </x:xf>
    <x:xf numFmtId="206" fontId="4" fillId="5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7" fontId="5" fillId="0" borderId="0" xfId="0" applyNumberFormat="1" applyFont="1" applyFill="1" applyBorder="1"/>
    <x:xf numFmtId="207" fontId="5" fillId="0" borderId="1" xfId="0" applyNumberFormat="1" applyFont="1" applyFill="1" applyBorder="1"/>
    <x:xf numFmtId="201" fontId="5" fillId="0" borderId="4" xfId="0" applyNumberFormat="1" applyFont="1" applyFill="1" applyBorder="1"/>
    <x:xf numFmtId="201" fontId="5" fillId="0" borderId="5" xfId="0" applyNumberFormat="1" applyFont="1" applyFill="1" applyBorder="1"/>
    <x:xf numFmtId="0" fontId="5" fillId="0" borderId="4" xfId="0" applyNumberFormat="1" applyFont="1" applyFill="1" applyBorder="1"/>
    <x:xf numFmtId="205" fontId="5" fillId="0" borderId="4" xfId="0" applyNumberFormat="1" applyFont="1" applyFill="1" applyBorder="1"/>
    <x:xf numFmtId="0" fontId="5" fillId="0" borderId="5" xfId="0" applyNumberFormat="1" applyFont="1" applyFill="1" applyBorder="1"/>
    <x:xf numFmtId="205" fontId="5" fillId="0" borderId="5" xfId="0" applyNumberFormat="1" applyFont="1" applyFill="1" applyBorder="1"/>
    <x:xf numFmtId="207" fontId="5" fillId="0" borderId="0" xfId="0" applyNumberFormat="1" applyFont="1" applyFill="1" applyBorder="1" applyAlignment="1">
      <x:alignment wrapText="1"/>
    </x:xf>
    <x:xf numFmtId="201" fontId="5" fillId="0" borderId="4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205" fontId="5" fillId="0" borderId="4" xfId="0" applyNumberFormat="1" applyFont="1" applyFill="1" applyBorder="1" applyAlignment="1">
      <x:alignment wrapText="1"/>
    </x:xf>
    <x:xf numFmtId="207" fontId="5" fillId="0" borderId="1" xfId="0" applyNumberFormat="1" applyFont="1" applyFill="1" applyBorder="1" applyAlignment="1">
      <x:alignment wrapText="1"/>
    </x:xf>
    <x:xf numFmtId="201" fontId="5" fillId="0" borderId="5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205" fontId="5" fillId="0" borderId="5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8" fontId="4" fillId="0" borderId="0" xfId="0" applyNumberFormat="1" applyFont="1" applyFill="1" applyBorder="1"/>
    <x:xf numFmtId="208" fontId="4" fillId="0" borderId="1" xfId="0" applyNumberFormat="1" applyFont="1" applyFill="1" applyBorder="1"/>
    <x:xf numFmtId="208" fontId="4" fillId="0" borderId="0" xfId="0" applyNumberFormat="1" applyFont="1" applyFill="1" applyBorder="1" applyAlignment="1">
      <x:alignment wrapText="1"/>
    </x:xf>
    <x:xf numFmtId="208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9C0006"/>
      </x:font>
      <x:fill>
        <x:patternFill patternType="solid">
          <x:bgColor rgb="FFFFC7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e2471d6ca8498e" /><Relationship Type="http://schemas.openxmlformats.org/officeDocument/2006/relationships/theme" Target="/xl/theme/theme1.xml" Id="Rf855fd9a47394cab" /><Relationship Type="http://schemas.openxmlformats.org/officeDocument/2006/relationships/sharedStrings" Target="/xl/sharedStrings.xml" Id="Rb235d78b4e02494f" /><Relationship Type="http://schemas.openxmlformats.org/officeDocument/2006/relationships/worksheet" Target="/xl/worksheets/sheet1.xml" Id="R3eb637aea32a4f55" /><Relationship Type="http://schemas.openxmlformats.org/officeDocument/2006/relationships/worksheet" Target="/xl/worksheets/sheet2.xml" Id="R44435fab118d475c" /><Relationship Type="http://schemas.openxmlformats.org/officeDocument/2006/relationships/worksheet" Target="/xl/worksheets/sheet3.xml" Id="R24ea2c6d4daf4dd9" /><Relationship Type="http://schemas.openxmlformats.org/officeDocument/2006/relationships/worksheet" Target="/xl/worksheets/sheet4.xml" Id="R9216805221654220" /><Relationship Type="http://schemas.openxmlformats.org/officeDocument/2006/relationships/worksheet" Target="/xl/worksheets/sheet5.xml" Id="R52cc5c33dea64c2a" /><Relationship Type="http://schemas.openxmlformats.org/officeDocument/2006/relationships/worksheet" Target="/xl/worksheets/sheet6.xml" Id="Rab3e3acbe78445ba" /><Relationship Type="http://schemas.openxmlformats.org/officeDocument/2006/relationships/worksheet" Target="/xl/worksheets/sheet7.xml" Id="R642e0c6f22884d69" /><Relationship Type="http://schemas.openxmlformats.org/officeDocument/2006/relationships/worksheet" Target="/xl/worksheets/sheet8.xml" Id="R8812278ed245412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57d87b12b15496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Base-Case Owner Earnings Forecast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Year 2</c:v>
          </c:tx>
          <c:cat>
            <c:strRef>
              <c:f>'DCF'!$B$5:$B$6</c:f>
              <c:strCache>
                <c:ptCount val="0"/>
              </c:strCache>
            </c:strRef>
          </c:cat>
          <c:val>
            <c:numRef>
              <c:f>'DCF'!$C$5:$C$6</c:f>
              <c:numCache>
                <c:formatCode>0.0%;[Red](0.0%);-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Year 3</c:v>
          </c:tx>
          <c:cat>
            <c:strRef>
              <c:f>'DCF'!$B$5:$B$6</c:f>
              <c:strCache>
                <c:ptCount val="0"/>
              </c:strCache>
            </c:strRef>
          </c:cat>
          <c:val>
            <c:numRef>
              <c:f>'DCF'!$D$5:$D$6</c:f>
              <c:numCache>
                <c:formatCode>0.0%;[Red](0.0%);-</c:formatCode>
                <c:ptCount val="0"/>
              </c:numCache>
            </c:numRef>
          </c:val>
          <c:smooth val="0"/>
        </c:ser>
        <c:ser>
          <c:idx val="2"/>
          <c:order val="2"/>
          <c:tx>
            <c:v>Year 4</c:v>
          </c:tx>
          <c:cat>
            <c:strRef>
              <c:f>'DCF'!$B$5:$B$6</c:f>
              <c:strCache>
                <c:ptCount val="0"/>
              </c:strCache>
            </c:strRef>
          </c:cat>
          <c:val>
            <c:numRef>
              <c:f>'DCF'!$E$5:$E$6</c:f>
              <c:numCache>
                <c:formatCode>0.0%;[Red](0.0%);-</c:formatCode>
                <c:ptCount val="0"/>
              </c:numCache>
            </c:numRef>
          </c:val>
          <c:smooth val="0"/>
        </c:ser>
        <c:ser>
          <c:idx val="3"/>
          <c:order val="3"/>
          <c:tx>
            <c:v>Year 5</c:v>
          </c:tx>
          <c:cat>
            <c:strRef>
              <c:f>'DCF'!$B$5:$B$6</c:f>
              <c:strCache>
                <c:ptCount val="0"/>
              </c:strCache>
            </c:strRef>
          </c:cat>
          <c:val>
            <c:numRef>
              <c:f>'DCF'!$F$5:$F$6</c:f>
              <c:numCache>
                <c:formatCode>0.0%;[Red](0.0%);-</c:formatCode>
                <c:ptCount val="0"/>
              </c:numCache>
            </c:numRef>
          </c:val>
          <c:smooth val="0"/>
        </c:ser>
        <c:ser>
          <c:idx val="4"/>
          <c:order val="4"/>
          <c:tx>
            <c:v>Year 6</c:v>
          </c:tx>
          <c:cat>
            <c:strRef>
              <c:f>'DCF'!$B$5:$B$6</c:f>
              <c:strCache>
                <c:ptCount val="0"/>
              </c:strCache>
            </c:strRef>
          </c:cat>
          <c:val>
            <c:numRef>
              <c:f>'DCF'!$G$5:$G$6</c:f>
              <c:numCache>
                <c:formatCode>0.0%;[Red](0.0%);-</c:formatCode>
                <c:ptCount val="0"/>
              </c:numCache>
            </c:numRef>
          </c:val>
          <c:smooth val="0"/>
        </c:ser>
        <c:ser>
          <c:idx val="5"/>
          <c:order val="5"/>
          <c:tx>
            <c:v>Year 7</c:v>
          </c:tx>
          <c:cat>
            <c:strRef>
              <c:f>'DCF'!$B$5:$B$6</c:f>
              <c:strCache>
                <c:ptCount val="0"/>
              </c:strCache>
            </c:strRef>
          </c:cat>
          <c:val>
            <c:numRef>
              <c:f>'DCF'!$H$5:$H$6</c:f>
              <c:numCache>
                <c:formatCode>0.0%;[Red](0.0%);-</c:formatCode>
                <c:ptCount val="0"/>
              </c:numCache>
            </c:numRef>
          </c:val>
          <c:smooth val="0"/>
        </c:ser>
        <c:ser>
          <c:idx val="6"/>
          <c:order val="6"/>
          <c:tx>
            <c:v>Year 8</c:v>
          </c:tx>
          <c:cat>
            <c:strRef>
              <c:f>'DCF'!$B$5:$B$6</c:f>
              <c:strCache>
                <c:ptCount val="0"/>
              </c:strCache>
            </c:strRef>
          </c:cat>
          <c:val>
            <c:numRef>
              <c:f>'DCF'!$I$5:$I$6</c:f>
              <c:numCache>
                <c:formatCode>0.0%;[Red](0.0%);-</c:formatCode>
                <c:ptCount val="0"/>
              </c:numCache>
            </c:numRef>
          </c:val>
          <c:smooth val="0"/>
        </c:ser>
        <c:ser>
          <c:idx val="7"/>
          <c:order val="7"/>
          <c:tx>
            <c:v>Year 9</c:v>
          </c:tx>
          <c:cat>
            <c:strRef>
              <c:f>'DCF'!$B$5:$B$6</c:f>
              <c:strCache>
                <c:ptCount val="0"/>
              </c:strCache>
            </c:strRef>
          </c:cat>
          <c:val>
            <c:numRef>
              <c:f>'DCF'!$J$5:$J$6</c:f>
              <c:numCache>
                <c:formatCode>0.0%;[Red](0.0%);-</c:formatCode>
                <c:ptCount val="0"/>
              </c:numCache>
            </c:numRef>
          </c:val>
          <c:smooth val="0"/>
        </c:ser>
        <c:ser>
          <c:idx val="8"/>
          <c:order val="8"/>
          <c:tx>
            <c:v>Year 10</c:v>
          </c:tx>
          <c:cat>
            <c:strRef>
              <c:f>'DCF'!$B$5:$B$6</c:f>
              <c:strCache>
                <c:ptCount val="0"/>
              </c:strCache>
            </c:strRef>
          </c:cat>
          <c:val>
            <c:numRef>
              <c:f>'DCF'!$K$5:$K$6</c:f>
              <c:numCache>
                <c:formatCode>0.0%;[Red](0.0%);-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24</xdr:row>
      <xdr:rowOff>0</xdr:rowOff>
    </xdr:from>
    <xdr:to>
      <xdr:col>13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57d87b12b15496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e7ba8232ba264df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30" t="str">
        <x:v>Buffett–Munger Owner Earnings Valuation Model</x:v>
      </x:c>
      <x:c r="B1" s="31"/>
      <x:c r="C1" s="31"/>
      <x:c r="D1" s="31"/>
      <x:c r="E1" s="31"/>
      <x:c r="F1" s="31"/>
      <x:c r="G1" s="31"/>
      <x:c r="H1" s="31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>
      <x:c r="A3" s="15" t="str">
        <x:v>Purpose</x:v>
      </x:c>
      <x:c r="B3" s="15" t="str">
        <x:v>How to use</x:v>
      </x:c>
      <x:c r="C3" s="15" t="str">
        <x:v>Blue font</x:v>
      </x:c>
      <x:c r="D3" s="15" t="str">
        <x:v>Green font</x:v>
      </x:c>
      <x:c r="E3" s="15" t="str">
        <x:v>Black font</x:v>
      </x:c>
      <x:c r="F3" s="15" t="str">
        <x:v>Yellow cells</x:v>
      </x:c>
      <x:c r="G3" s="15" t="str">
        <x:v>Units</x:v>
      </x:c>
      <x:c r="H3" s="15" t="str">
        <x:v>Important warning</x:v>
      </x:c>
    </x:row>
    <x:row r="4">
      <x:c r="A4" s="31" t="str">
        <x:v>Owner Earnings DCF</x:v>
      </x:c>
      <x:c r="B4" s="31" t="str">
        <x:v>Fill yellow input cells; formulas update automatically.</x:v>
      </x:c>
      <x:c r="C4" s="31" t="str">
        <x:v>Hardcoded inputs</x:v>
      </x:c>
      <x:c r="D4" s="31" t="str">
        <x:v>Links from other sheets</x:v>
      </x:c>
      <x:c r="E4" s="31" t="str">
        <x:v>Formulas</x:v>
      </x:c>
      <x:c r="F4" s="31" t="str">
        <x:v>Required assumptions/data</x:v>
      </x:c>
      <x:c r="G4" s="31" t="str">
        <x:v>$ millions unless noted</x:v>
      </x:c>
      <x:c r="H4" s="31" t="str">
        <x:v>This is a decision aid, not a prediction.</x:v>
      </x:c>
    </x:row>
    <x:row r="5">
      <x:c r="A5" s="31" t="str">
        <x:v>Historical analysis</x:v>
      </x:c>
      <x:c r="B5" s="31" t="str">
        <x:v>Enter 5 fiscal years plus LTM data in Historical Data.</x:v>
      </x:c>
      <x:c r="C5" s="31" t="str"/>
      <x:c r="D5" s="31" t="str"/>
      <x:c r="E5" s="31" t="str"/>
      <x:c r="F5" s="31" t="str"/>
      <x:c r="G5" s="31" t="str"/>
      <x:c r="H5" s="31" t="str">
        <x:v>Use normalized, recurring figures.</x:v>
      </x:c>
    </x:row>
    <x:row r="6">
      <x:c r="A6" s="31" t="str">
        <x:v>Quality review</x:v>
      </x:c>
      <x:c r="B6" s="31" t="str">
        <x:v>Review ROIC, margins, leverage, conversion and share count.</x:v>
      </x:c>
      <x:c r="C6" s="31" t="str"/>
      <x:c r="D6" s="31" t="str"/>
      <x:c r="E6" s="31" t="str"/>
      <x:c r="F6" s="31" t="str"/>
      <x:c r="G6" s="31" t="str"/>
      <x:c r="H6" s="31" t="str">
        <x:v>High quality does not make any price attractive.</x:v>
      </x:c>
    </x:row>
    <x:row r="7">
      <x:c r="A7" s="31" t="str">
        <x:v>Valuation</x:v>
      </x:c>
      <x:c r="B7" s="31" t="str">
        <x:v>Set conservative growth, discount rate and terminal growth.</x:v>
      </x:c>
      <x:c r="C7" s="31" t="str"/>
      <x:c r="D7" s="31" t="str"/>
      <x:c r="E7" s="31" t="str"/>
      <x:c r="F7" s="31" t="str"/>
      <x:c r="G7" s="31" t="str"/>
      <x:c r="H7" s="31" t="str">
        <x:v>Small changes in assumptions can materially change value.</x:v>
      </x:c>
    </x:row>
    <x:row r="8">
      <x:c r="A8" s="31" t="str">
        <x:v>Google Sheets</x:v>
      </x:c>
      <x:c r="B8" s="31" t="str">
        <x:v>Upload this .xlsx to Google Sheets. Native Excel formulas should carry over.</x:v>
      </x:c>
      <x:c r="C8" s="31" t="str"/>
      <x:c r="D8" s="31" t="str"/>
      <x:c r="E8" s="31" t="str"/>
      <x:c r="F8" s="31" t="str"/>
      <x:c r="G8" s="31" t="str"/>
      <x:c r="H8" s="31" t="str">
        <x:v>GOOGLEFINANCE is optional and only works in Google Sheets.</x:v>
      </x:c>
    </x:row>
    <x:row r="9">
      <x:c r="A9" s="31"/>
      <x:c r="B9" s="31"/>
      <x:c r="C9" s="31"/>
      <x:c r="D9" s="31"/>
      <x:c r="E9" s="31"/>
      <x:c r="F9" s="31"/>
      <x:c r="G9" s="31"/>
      <x:c r="H9" s="31"/>
    </x:row>
    <x:row r="10" ht="20" customHeight="1">
      <x:c r="A10" s="32" t="str">
        <x:v>Workbook Map</x:v>
      </x:c>
      <x:c r="B10" s="31" t="str"/>
      <x:c r="C10" s="31" t="str"/>
      <x:c r="D10" s="31" t="str"/>
      <x:c r="E10" s="31" t="str"/>
      <x:c r="F10" s="31" t="str"/>
      <x:c r="G10" s="31" t="str"/>
      <x:c r="H10" s="31" t="str"/>
    </x:row>
    <x:row r="11">
      <x:c r="A11" s="15" t="str">
        <x:v>Sheet</x:v>
      </x:c>
      <x:c r="B11" s="15" t="str">
        <x:v>Purpose</x:v>
      </x:c>
      <x:c r="C11" s="31"/>
      <x:c r="D11" s="31"/>
      <x:c r="E11" s="31"/>
      <x:c r="F11" s="31"/>
      <x:c r="G11" s="31"/>
      <x:c r="H11" s="31"/>
    </x:row>
    <x:row r="12">
      <x:c r="A12" s="31" t="str">
        <x:v>Dashboard</x:v>
      </x:c>
      <x:c r="B12" s="31" t="str">
        <x:v>Key valuation, quality and price outputs</x:v>
      </x:c>
      <x:c r="C12" s="31"/>
      <x:c r="D12" s="31"/>
      <x:c r="E12" s="31"/>
      <x:c r="F12" s="31"/>
      <x:c r="G12" s="31"/>
      <x:c r="H12" s="31"/>
    </x:row>
    <x:row r="13">
      <x:c r="A13" s="31" t="str">
        <x:v>Assumptions</x:v>
      </x:c>
      <x:c r="B13" s="31" t="str">
        <x:v>Ticker, price, discount rate, growth and model switches</x:v>
      </x:c>
      <x:c r="C13" s="31"/>
      <x:c r="D13" s="31"/>
      <x:c r="E13" s="31"/>
      <x:c r="F13" s="31"/>
      <x:c r="G13" s="31"/>
      <x:c r="H13" s="31"/>
    </x:row>
    <x:row r="14">
      <x:c r="A14" s="31" t="str">
        <x:v>Historical Data</x:v>
      </x:c>
      <x:c r="B14" s="31" t="str">
        <x:v>Five fiscal years plus LTM statements and balance-sheet inputs</x:v>
      </x:c>
      <x:c r="C14" s="31"/>
      <x:c r="D14" s="31"/>
      <x:c r="E14" s="31"/>
      <x:c r="F14" s="31"/>
      <x:c r="G14" s="31"/>
      <x:c r="H14" s="31"/>
    </x:row>
    <x:row r="15">
      <x:c r="A15" s="31" t="str">
        <x:v>Owner Earnings</x:v>
      </x:c>
      <x:c r="B15" s="31" t="str">
        <x:v>Normalizes owner earnings and per-share earning power</x:v>
      </x:c>
      <x:c r="C15" s="31"/>
      <x:c r="D15" s="31"/>
      <x:c r="E15" s="31"/>
      <x:c r="F15" s="31"/>
      <x:c r="G15" s="31"/>
      <x:c r="H15" s="31"/>
    </x:row>
    <x:row r="16">
      <x:c r="A16" s="31" t="str">
        <x:v>Quality</x:v>
      </x:c>
      <x:c r="B16" s="31" t="str">
        <x:v>Profitability, capital efficiency, leverage and compounding checks</x:v>
      </x:c>
      <x:c r="C16" s="31"/>
      <x:c r="D16" s="31"/>
      <x:c r="E16" s="31"/>
      <x:c r="F16" s="31"/>
      <x:c r="G16" s="31"/>
      <x:c r="H16" s="31"/>
    </x:row>
    <x:row r="17">
      <x:c r="A17" s="31" t="str">
        <x:v>DCF</x:v>
      </x:c>
      <x:c r="B17" s="31" t="str">
        <x:v>10-year owner-earnings discounted cash-flow model and scenarios</x:v>
      </x:c>
      <x:c r="C17" s="31"/>
      <x:c r="D17" s="31"/>
      <x:c r="E17" s="31"/>
      <x:c r="F17" s="31"/>
      <x:c r="G17" s="31"/>
      <x:c r="H17" s="31"/>
    </x:row>
    <x:row r="18">
      <x:c r="A18" s="31" t="str">
        <x:v>Google Sheets</x:v>
      </x:c>
      <x:c r="B18" s="31" t="str">
        <x:v>Optional GOOGLEFINANCE formulas and import guidance</x:v>
      </x:c>
      <x:c r="C18" s="31"/>
      <x:c r="D18" s="31"/>
      <x:c r="E18" s="31"/>
      <x:c r="F18" s="31"/>
      <x:c r="G18" s="31"/>
      <x:c r="H18" s="31"/>
    </x:row>
    <x:row r="19">
      <x:c r="A19" s="31"/>
      <x:c r="B19" s="31"/>
      <x:c r="C19" s="31"/>
      <x:c r="D19" s="31"/>
      <x:c r="E19" s="31"/>
      <x:c r="F19" s="31"/>
      <x:c r="G19" s="31"/>
      <x:c r="H19" s="31"/>
    </x:row>
    <x:row r="20" ht="20" customHeight="1">
      <x:c r="A20" s="32" t="str">
        <x:v>Core Definitions</x:v>
      </x:c>
      <x:c r="B20" s="31" t="str"/>
      <x:c r="C20" s="31" t="str"/>
      <x:c r="D20" s="31" t="str"/>
      <x:c r="E20" s="31" t="str"/>
      <x:c r="F20" s="31" t="str"/>
      <x:c r="G20" s="31" t="str"/>
      <x:c r="H20" s="31" t="str"/>
    </x:row>
    <x:row r="21">
      <x:c r="A21" s="31" t="str">
        <x:v>Owner Earnings</x:v>
      </x:c>
      <x:c r="B21" s="31" t="str">
        <x:v>Net income + D&amp;A + other non-cash charges − maintenance capex − recurring working-capital needs − optional SBC deduction.</x:v>
      </x:c>
      <x:c r="C21" s="31" t="str"/>
      <x:c r="D21" s="31" t="str"/>
      <x:c r="E21" s="31" t="str"/>
      <x:c r="F21" s="31" t="str"/>
      <x:c r="G21" s="31" t="str"/>
      <x:c r="H21" s="31" t="str"/>
    </x:row>
    <x:row r="22">
      <x:c r="A22" s="31" t="str">
        <x:v>No-growth earning power</x:v>
      </x:c>
      <x:c r="B22" s="31" t="str">
        <x:v>Normalized owner earnings divided by required return.</x:v>
      </x:c>
      <x:c r="C22" s="31" t="str"/>
      <x:c r="D22" s="31" t="str"/>
      <x:c r="E22" s="31" t="str"/>
      <x:c r="F22" s="31" t="str"/>
      <x:c r="G22" s="31" t="str"/>
      <x:c r="H22" s="31" t="str"/>
    </x:row>
    <x:row r="23">
      <x:c r="A23" s="31" t="str">
        <x:v>DCF value</x:v>
      </x:c>
      <x:c r="B23" s="31" t="str">
        <x:v>Present value of forecast owner earnings plus terminal value.</x:v>
      </x:c>
      <x:c r="C23" s="31" t="str"/>
      <x:c r="D23" s="31" t="str"/>
      <x:c r="E23" s="31" t="str"/>
      <x:c r="F23" s="31" t="str"/>
      <x:c r="G23" s="31" t="str"/>
      <x:c r="H23" s="31" t="str"/>
    </x:row>
    <x:row r="24">
      <x:c r="A24" s="31" t="str">
        <x:v>Required return</x:v>
      </x:c>
      <x:c r="B24" s="31" t="str">
        <x:v>Opportunity cost/hurdle rate, anchored to alternatives and business risk—not a fact supplied by the company.</x:v>
      </x:c>
      <x:c r="C24" s="31" t="str"/>
      <x:c r="D24" s="31" t="str"/>
      <x:c r="E24" s="31" t="str"/>
      <x:c r="F24" s="31" t="str"/>
      <x:c r="G24" s="31" t="str"/>
      <x:c r="H24" s="31" t="str"/>
    </x:row>
    <x:row r="25">
      <x:c r="A25" s="31" t="str">
        <x:v>Maintenance capex</x:v>
      </x:c>
      <x:c r="B25" s="31" t="str">
        <x:v>Capital spending required to preserve current earning capacity. Estimate carefully.</x:v>
      </x:c>
      <x:c r="C25" s="31" t="str"/>
      <x:c r="D25" s="31" t="str"/>
      <x:c r="E25" s="31" t="str"/>
      <x:c r="F25" s="31" t="str"/>
      <x:c r="G25" s="31" t="str"/>
      <x:c r="H25" s="31" t="str"/>
    </x:row>
    <x:row r="26">
      <x:c r="A26" s="31" t="str">
        <x:v>Margin of safety</x:v>
      </x:c>
      <x:c r="B26" s="31" t="str">
        <x:v>(Intrinsic value − price) ÷ intrinsic value.</x:v>
      </x:c>
      <x:c r="C26" s="31" t="str"/>
      <x:c r="D26" s="31" t="str"/>
      <x:c r="E26" s="31" t="str"/>
      <x:c r="F26" s="31" t="str"/>
      <x:c r="G26" s="31" t="str"/>
      <x:c r="H26" s="31" t="str"/>
    </x:row>
    <x:row r="27">
      <x:c r="A27" s="31"/>
      <x:c r="B27" s="31"/>
      <x:c r="C27" s="31"/>
      <x:c r="D27" s="31"/>
      <x:c r="E27" s="31"/>
      <x:c r="F27" s="31"/>
      <x:c r="G27" s="31"/>
      <x:c r="H27" s="31"/>
    </x:row>
    <x:row r="28">
      <x:c r="A28" s="31"/>
      <x:c r="B28" s="31"/>
      <x:c r="C28" s="31"/>
      <x:c r="D28" s="31"/>
      <x:c r="E28" s="31"/>
      <x:c r="F28" s="31"/>
      <x:c r="G28" s="31"/>
      <x:c r="H28" s="31"/>
    </x:row>
    <x:row r="29">
      <x:c r="A29" s="31"/>
      <x:c r="B29" s="31"/>
      <x:c r="C29" s="31"/>
      <x:c r="D29" s="31"/>
      <x:c r="E29" s="31"/>
      <x:c r="F29" s="31"/>
      <x:c r="G29" s="31"/>
      <x:c r="H29" s="31"/>
    </x:row>
    <x:row r="30">
      <x:c r="A30" s="31"/>
      <x:c r="B30" s="31"/>
      <x:c r="C30" s="31"/>
      <x:c r="D30" s="31"/>
      <x:c r="E30" s="31"/>
      <x:c r="F30" s="31"/>
      <x:c r="G30" s="31"/>
      <x:c r="H30" s="31"/>
    </x:row>
  </x:sheetData>
  <x:mergeCells>
    <x:mergeCell ref="A1:H1"/>
    <x:mergeCell ref="A10:H10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55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8" customHeight="1">
      <x:c r="A1" s="30" t="str">
        <x:v>Assumptions &amp; Market Inputs</x:v>
      </x:c>
      <x:c r="B1" s="31"/>
      <x:c r="C1" s="31"/>
      <x:c r="D1" s="31"/>
      <x:c r="E1" s="31"/>
      <x:c r="F1" s="31"/>
    </x:row>
    <x:row r="2">
      <x:c r="A2" s="31"/>
      <x:c r="B2" s="31"/>
      <x:c r="C2" s="31"/>
      <x:c r="D2" s="31"/>
      <x:c r="E2" s="31"/>
      <x:c r="F2" s="31"/>
    </x:row>
    <x:row r="3" ht="20" customHeight="1">
      <x:c r="A3" s="32" t="str">
        <x:v>Company &amp; Market Data</x:v>
      </x:c>
      <x:c r="B3" s="31"/>
      <x:c r="C3" s="31"/>
      <x:c r="D3" s="31"/>
      <x:c r="E3" s="31"/>
      <x:c r="F3" s="31"/>
    </x:row>
    <x:row r="4">
      <x:c r="A4" s="15" t="str">
        <x:v>Input</x:v>
      </x:c>
      <x:c r="B4" s="15" t="str">
        <x:v>Value</x:v>
      </x:c>
      <x:c r="C4" s="15" t="str">
        <x:v>Notes / Source</x:v>
      </x:c>
      <x:c r="D4" s="31"/>
      <x:c r="E4" s="31"/>
      <x:c r="F4" s="31"/>
    </x:row>
    <x:row r="5">
      <x:c r="A5" s="31" t="str">
        <x:v>Ticker</x:v>
      </x:c>
      <x:c r="B5" s="52" t="str"/>
      <x:c r="C5" s="31" t="str">
        <x:v>Enter exchange-qualified ticker where useful, e.g. NYSE:FI</x:v>
      </x:c>
      <x:c r="D5" s="31"/>
      <x:c r="E5" s="31"/>
      <x:c r="F5" s="31"/>
    </x:row>
    <x:row r="6">
      <x:c r="A6" s="31" t="str">
        <x:v>Company name</x:v>
      </x:c>
      <x:c r="B6" s="52" t="str"/>
      <x:c r="C6" s="31" t="str">
        <x:v>Manual</x:v>
      </x:c>
      <x:c r="D6" s="31"/>
      <x:c r="E6" s="31"/>
      <x:c r="F6" s="31"/>
    </x:row>
    <x:row r="7">
      <x:c r="A7" s="31" t="str">
        <x:v>Current share price ($)</x:v>
      </x:c>
      <x:c r="B7" s="52" t="str"/>
      <x:c r="C7" s="31" t="str">
        <x:v>Manual in Excel; optional GOOGLEFINANCE formula on Google Sheets tab</x:v>
      </x:c>
      <x:c r="D7" s="31"/>
      <x:c r="E7" s="31"/>
      <x:c r="F7" s="31"/>
    </x:row>
    <x:row r="8">
      <x:c r="A8" s="31" t="str">
        <x:v>Diluted shares outstanding (mm)</x:v>
      </x:c>
      <x:c r="B8" s="52" t="str"/>
      <x:c r="C8" s="31" t="str">
        <x:v>Use current diluted share count</x:v>
      </x:c>
      <x:c r="D8" s="31"/>
      <x:c r="E8" s="31"/>
      <x:c r="F8" s="31"/>
    </x:row>
    <x:row r="9">
      <x:c r="A9" s="31" t="str">
        <x:v>Current market cap ($mm)</x:v>
      </x:c>
      <x:c r="B9" s="53" t="str">
        <x:f>IF(OR(B7="",B8=""),"",B7*B8)</x:f>
      </x:c>
      <x:c r="C9" s="31" t="str">
        <x:v>Calculated</x:v>
      </x:c>
      <x:c r="D9" s="31"/>
      <x:c r="E9" s="31"/>
      <x:c r="F9" s="31"/>
    </x:row>
    <x:row r="10">
      <x:c r="A10" s="31" t="str">
        <x:v>Analysis date</x:v>
      </x:c>
      <x:c r="B10" s="54" t="str"/>
      <x:c r="C10" s="31" t="str">
        <x:v>Manual date</x:v>
      </x:c>
      <x:c r="D10" s="31"/>
      <x:c r="E10" s="31"/>
      <x:c r="F10" s="31"/>
    </x:row>
    <x:row r="11">
      <x:c r="A11" s="31"/>
      <x:c r="B11" s="31"/>
      <x:c r="C11" s="31"/>
      <x:c r="D11" s="31"/>
      <x:c r="E11" s="31"/>
      <x:c r="F11" s="31"/>
    </x:row>
    <x:row r="12" ht="20" customHeight="1">
      <x:c r="A12" s="32" t="str">
        <x:v>Owner Earnings Normalization</x:v>
      </x:c>
      <x:c r="B12" s="31"/>
      <x:c r="C12" s="31"/>
      <x:c r="D12" s="31"/>
      <x:c r="E12" s="31"/>
      <x:c r="F12" s="31"/>
    </x:row>
    <x:row r="13">
      <x:c r="A13" s="15" t="str">
        <x:v>Assumption</x:v>
      </x:c>
      <x:c r="B13" s="15" t="str">
        <x:v>Value</x:v>
      </x:c>
      <x:c r="C13" s="15" t="str">
        <x:v>Guidance</x:v>
      </x:c>
      <x:c r="D13" s="31"/>
      <x:c r="E13" s="31"/>
      <x:c r="F13" s="31"/>
    </x:row>
    <x:row r="14">
      <x:c r="A14" s="31" t="str">
        <x:v>Normalized period</x:v>
      </x:c>
      <x:c r="B14" s="52" t="str">
        <x:v>LTM</x:v>
      </x:c>
      <x:c r="C14" s="31" t="str">
        <x:v>Choose LTM or 5Y Average</x:v>
      </x:c>
      <x:c r="D14" s="31"/>
      <x:c r="E14" s="31"/>
      <x:c r="F14" s="31"/>
    </x:row>
    <x:row r="15">
      <x:c r="A15" s="31" t="str">
        <x:v>Maintenance capex as % of total capex</x:v>
      </x:c>
      <x:c r="B15" s="55" t="n">
        <x:v>0.7</x:v>
      </x:c>
      <x:c r="C15" s="31" t="str">
        <x:v>Used only when manual maintenance capex is blank</x:v>
      </x:c>
      <x:c r="D15" s="31"/>
      <x:c r="E15" s="31"/>
      <x:c r="F15" s="31"/>
    </x:row>
    <x:row r="16">
      <x:c r="A16" s="31" t="str">
        <x:v>Deduct stock-based compensation?</x:v>
      </x:c>
      <x:c r="B16" s="52" t="str">
        <x:v>Yes</x:v>
      </x:c>
      <x:c r="C16" s="31" t="str">
        <x:v>Yes is conservative; No treats SBC as non-cash</x:v>
      </x:c>
      <x:c r="D16" s="31"/>
      <x:c r="E16" s="31"/>
      <x:c r="F16" s="31"/>
    </x:row>
    <x:row r="17">
      <x:c r="A17" s="31" t="str">
        <x:v>Normalized tax rate</x:v>
      </x:c>
      <x:c r="B17" s="55" t="n">
        <x:v>0.21</x:v>
      </x:c>
      <x:c r="C17" s="31" t="str">
        <x:v>Used for NOPAT/ROIC</x:v>
      </x:c>
      <x:c r="D17" s="31"/>
      <x:c r="E17" s="31"/>
      <x:c r="F17" s="31"/>
    </x:row>
    <x:row r="18">
      <x:c r="A18" s="31" t="str">
        <x:v>Excess cash adjustment ($mm)</x:v>
      </x:c>
      <x:c r="B18" s="56" t="n">
        <x:v>0</x:v>
      </x:c>
      <x:c r="C18" s="31" t="str">
        <x:v>Optional non-operating asset adjustment</x:v>
      </x:c>
      <x:c r="D18" s="31"/>
      <x:c r="E18" s="31"/>
      <x:c r="F18" s="31"/>
    </x:row>
    <x:row r="19">
      <x:c r="A19" s="31" t="str">
        <x:v>Other equity adjustments ($mm)</x:v>
      </x:c>
      <x:c r="B19" s="56" t="n">
        <x:v>0</x:v>
      </x:c>
      <x:c r="C19" s="31" t="str">
        <x:v>Investments, pension deficit, minority claims, etc.</x:v>
      </x:c>
      <x:c r="D19" s="31"/>
      <x:c r="E19" s="31"/>
      <x:c r="F19" s="31"/>
    </x:row>
    <x:row r="20">
      <x:c r="A20" s="31" t="str">
        <x:v>Margin of safety target</x:v>
      </x:c>
      <x:c r="B20" s="55" t="n">
        <x:v>0.25</x:v>
      </x:c>
      <x:c r="C20" s="31" t="str">
        <x:v>Target discount to intrinsic value</x:v>
      </x:c>
      <x:c r="D20" s="31"/>
      <x:c r="E20" s="31"/>
      <x:c r="F20" s="31"/>
    </x:row>
    <x:row r="21">
      <x:c r="A21" s="31"/>
      <x:c r="B21" s="31"/>
      <x:c r="C21" s="31"/>
      <x:c r="D21" s="31"/>
      <x:c r="E21" s="31"/>
      <x:c r="F21" s="31"/>
    </x:row>
    <x:row r="22" ht="20" customHeight="1">
      <x:c r="A22" s="32" t="str">
        <x:v>Base-Case DCF</x:v>
      </x:c>
      <x:c r="B22" s="31"/>
      <x:c r="C22" s="31"/>
      <x:c r="D22" s="31"/>
      <x:c r="E22" s="31"/>
      <x:c r="F22" s="31"/>
    </x:row>
    <x:row r="23">
      <x:c r="A23" s="15" t="str">
        <x:v>Assumption</x:v>
      </x:c>
      <x:c r="B23" s="15" t="str">
        <x:v>Value</x:v>
      </x:c>
      <x:c r="C23" s="15" t="str">
        <x:v>Guidance</x:v>
      </x:c>
      <x:c r="D23" s="31"/>
      <x:c r="E23" s="31"/>
      <x:c r="F23" s="31"/>
    </x:row>
    <x:row r="24">
      <x:c r="A24" s="31" t="str">
        <x:v>Forecast period (years)</x:v>
      </x:c>
      <x:c r="B24" s="57" t="n">
        <x:v>10</x:v>
      </x:c>
      <x:c r="C24" s="31" t="str">
        <x:v>Model is prebuilt for 10 years</x:v>
      </x:c>
      <x:c r="D24" s="31"/>
      <x:c r="E24" s="31"/>
      <x:c r="F24" s="31"/>
    </x:row>
    <x:row r="25">
      <x:c r="A25" s="31" t="str">
        <x:v>Starting owner-earnings growth</x:v>
      </x:c>
      <x:c r="B25" s="55" t="n">
        <x:v>0.08</x:v>
      </x:c>
      <x:c r="C25" s="31" t="str">
        <x:v>Year 1 growth</x:v>
      </x:c>
      <x:c r="D25" s="31"/>
      <x:c r="E25" s="31"/>
      <x:c r="F25" s="31"/>
    </x:row>
    <x:row r="26">
      <x:c r="A26" s="31" t="str">
        <x:v>Year 10 growth</x:v>
      </x:c>
      <x:c r="B26" s="55" t="n">
        <x:v>0.04</x:v>
      </x:c>
      <x:c r="C26" s="31" t="str">
        <x:v>Growth fades linearly to this rate</x:v>
      </x:c>
      <x:c r="D26" s="31"/>
      <x:c r="E26" s="31"/>
      <x:c r="F26" s="31"/>
    </x:row>
    <x:row r="27">
      <x:c r="A27" s="31" t="str">
        <x:v>Terminal growth</x:v>
      </x:c>
      <x:c r="B27" s="55" t="n">
        <x:v>0.025</x:v>
      </x:c>
      <x:c r="C27" s="31" t="str">
        <x:v>Must be below discount rate</x:v>
      </x:c>
      <x:c r="D27" s="31"/>
      <x:c r="E27" s="31"/>
      <x:c r="F27" s="31"/>
    </x:row>
    <x:row r="28">
      <x:c r="A28" s="31" t="str">
        <x:v>Required return / discount rate</x:v>
      </x:c>
      <x:c r="B28" s="55" t="n">
        <x:v>0.09</x:v>
      </x:c>
      <x:c r="C28" s="31" t="str">
        <x:v>Your opportunity cost plus business-risk allowance</x:v>
      </x:c>
      <x:c r="D28" s="31"/>
      <x:c r="E28" s="31"/>
      <x:c r="F28" s="31"/>
    </x:row>
    <x:row r="29">
      <x:c r="A29" s="31" t="str">
        <x:v>Long-run inflation reference</x:v>
      </x:c>
      <x:c r="B29" s="55" t="n">
        <x:v>0.02</x:v>
      </x:c>
      <x:c r="C29" s="31" t="str">
        <x:v>Cross-check only</x:v>
      </x:c>
      <x:c r="D29" s="31"/>
      <x:c r="E29" s="31"/>
      <x:c r="F29" s="31"/>
    </x:row>
    <x:row r="30">
      <x:c r="A30" s="31" t="str">
        <x:v>Minimum acceptable owner earnings yield</x:v>
      </x:c>
      <x:c r="B30" s="55" t="n">
        <x:v>0.06</x:v>
      </x:c>
      <x:c r="C30" s="31" t="str">
        <x:v>Price discipline cross-check</x:v>
      </x:c>
      <x:c r="D30" s="31"/>
      <x:c r="E30" s="31"/>
      <x:c r="F30" s="31"/>
    </x:row>
    <x:row r="31">
      <x:c r="A31" s="31"/>
      <x:c r="B31" s="31"/>
      <x:c r="C31" s="31"/>
      <x:c r="D31" s="31"/>
      <x:c r="E31" s="31"/>
      <x:c r="F31" s="31"/>
    </x:row>
    <x:row r="32" ht="20" customHeight="1">
      <x:c r="A32" s="32" t="str">
        <x:v>Scenario Assumptions</x:v>
      </x:c>
      <x:c r="B32" s="31"/>
      <x:c r="C32" s="31"/>
      <x:c r="D32" s="31"/>
      <x:c r="E32" s="31"/>
      <x:c r="F32" s="31"/>
    </x:row>
    <x:row r="33">
      <x:c r="A33" s="15" t="str">
        <x:v>Scenario</x:v>
      </x:c>
      <x:c r="B33" s="15" t="str">
        <x:v>Starting growth</x:v>
      </x:c>
      <x:c r="C33" s="15" t="str">
        <x:v>Discount rate</x:v>
      </x:c>
      <x:c r="D33" s="15" t="str">
        <x:v>Terminal growth</x:v>
      </x:c>
      <x:c r="E33" s="31"/>
      <x:c r="F33" s="31"/>
    </x:row>
    <x:row r="34">
      <x:c r="A34" s="31" t="str">
        <x:v>Bear</x:v>
      </x:c>
      <x:c r="B34" s="55" t="n">
        <x:v>0.03</x:v>
      </x:c>
      <x:c r="C34" s="55" t="n">
        <x:v>0.11</x:v>
      </x:c>
      <x:c r="D34" s="55" t="n">
        <x:v>0.015</x:v>
      </x:c>
      <x:c r="E34" s="31"/>
      <x:c r="F34" s="31"/>
    </x:row>
    <x:row r="35">
      <x:c r="A35" s="31" t="str">
        <x:v>Base</x:v>
      </x:c>
      <x:c r="B35" s="55" t="n">
        <x:v>0.08</x:v>
      </x:c>
      <x:c r="C35" s="55" t="n">
        <x:v>0.09</x:v>
      </x:c>
      <x:c r="D35" s="55" t="n">
        <x:v>0.025</x:v>
      </x:c>
      <x:c r="E35" s="31"/>
      <x:c r="F35" s="31"/>
    </x:row>
    <x:row r="36">
      <x:c r="A36" s="31" t="str">
        <x:v>Bull</x:v>
      </x:c>
      <x:c r="B36" s="55" t="n">
        <x:v>0.11</x:v>
      </x:c>
      <x:c r="C36" s="55" t="n">
        <x:v>0.08</x:v>
      </x:c>
      <x:c r="D36" s="55" t="n">
        <x:v>0.03</x:v>
      </x:c>
      <x:c r="E36" s="31"/>
      <x:c r="F36" s="31"/>
    </x:row>
    <x:row r="37">
      <x:c r="A37" s="31" t="str">
        <x:v>Probability</x:v>
      </x:c>
      <x:c r="B37" s="55" t="n">
        <x:v>0.25</x:v>
      </x:c>
      <x:c r="C37" s="55" t="n">
        <x:v>0.5</x:v>
      </x:c>
      <x:c r="D37" s="55" t="n">
        <x:v>0.25</x:v>
      </x:c>
      <x:c r="E37" s="31"/>
      <x:c r="F37" s="31"/>
    </x:row>
    <x:row r="38">
      <x:c r="A38" s="31"/>
      <x:c r="B38" s="31"/>
      <x:c r="C38" s="31"/>
      <x:c r="D38" s="31"/>
      <x:c r="E38" s="31"/>
      <x:c r="F38" s="31"/>
    </x:row>
    <x:row r="39">
      <x:c r="A39" s="15" t="str">
        <x:v>Sanity checks</x:v>
      </x:c>
      <x:c r="B39" s="15" t="str">
        <x:v>Result</x:v>
      </x:c>
      <x:c r="C39" s="15" t="str">
        <x:v>Status</x:v>
      </x:c>
      <x:c r="D39" s="31"/>
      <x:c r="E39" s="31"/>
      <x:c r="F39" s="31"/>
    </x:row>
    <x:row r="40">
      <x:c r="A40" s="31" t="str">
        <x:v>Terminal growth &lt; discount rate</x:v>
      </x:c>
      <x:c r="B40" s="31" t="b">
        <x:f>B27&lt;B28</x:f>
        <x:v>1</x:v>
      </x:c>
      <x:c r="C40" s="31" t="str">
        <x:f>IF(B40,"OK","CHECK")</x:f>
        <x:v>OK</x:v>
      </x:c>
      <x:c r="D40" s="31"/>
      <x:c r="E40" s="31"/>
      <x:c r="F40" s="31"/>
    </x:row>
    <x:row r="41">
      <x:c r="A41" s="31" t="str">
        <x:v>Base growth assumptions non-negative</x:v>
      </x:c>
      <x:c r="B41" s="31" t="b">
        <x:f>AND(B25&gt;=0,B26&gt;=0)</x:f>
        <x:v>1</x:v>
      </x:c>
      <x:c r="C41" s="31" t="str">
        <x:f>IF(B41,"OK","CHECK")</x:f>
        <x:v>OK</x:v>
      </x:c>
      <x:c r="D41" s="31"/>
      <x:c r="E41" s="31"/>
      <x:c r="F41" s="31"/>
    </x:row>
    <x:row r="42">
      <x:c r="A42" s="31" t="str">
        <x:v>Scenario probabilities sum to 100%</x:v>
      </x:c>
      <x:c r="B42" s="31" t="b">
        <x:f>ABS(SUM(B37:D37)-100%)&lt;0.0001</x:f>
        <x:v>1</x:v>
      </x:c>
      <x:c r="C42" s="31" t="str">
        <x:f>IF(B42,"OK","CHECK")</x:f>
        <x:v>OK</x:v>
      </x:c>
      <x:c r="D42" s="31"/>
      <x:c r="E42" s="31"/>
      <x:c r="F42" s="31"/>
    </x:row>
    <x:row r="43">
      <x:c r="A43" s="31" t="str">
        <x:v>Shares outstanding &gt; 0</x:v>
      </x:c>
      <x:c r="B43" s="31" t="b">
        <x:f>B8&gt;0</x:f>
        <x:v>0</x:v>
      </x:c>
      <x:c r="C43" s="31" t="str">
        <x:f>IF(B43,"OK","CHECK")</x:f>
        <x:v>CHECK</x:v>
      </x:c>
      <x:c r="D43" s="31"/>
      <x:c r="E43" s="31"/>
      <x:c r="F43" s="31"/>
    </x:row>
    <x:row r="44">
      <x:c r="A44" s="31"/>
      <x:c r="B44" s="31"/>
      <x:c r="C44" s="31"/>
      <x:c r="D44" s="31"/>
      <x:c r="E44" s="31"/>
      <x:c r="F44" s="31"/>
    </x:row>
    <x:row r="45">
      <x:c r="A45" s="31"/>
      <x:c r="B45" s="31"/>
      <x:c r="C45" s="31"/>
      <x:c r="D45" s="31"/>
      <x:c r="E45" s="31"/>
      <x:c r="F45" s="31"/>
    </x:row>
  </x:sheetData>
  <x:mergeCells>
    <x:mergeCell ref="A1:F1"/>
    <x:mergeCell ref="A3:F3"/>
    <x:mergeCell ref="A12:F12"/>
    <x:mergeCell ref="A22:F22"/>
    <x:mergeCell ref="A32:F32"/>
  </x:mergeCells>
  <x:conditionalFormatting sqref="C40:C43">
    <x:cfRule type="expression" dxfId="0" priority="1">
      <x:formula>C40="CHECK"</x:formula>
    </x:cfRule>
    <x:cfRule type="expression" dxfId="1" priority="2">
      <x:formula>C40="OK"</x:formula>
    </x:cfRule>
  </x:conditionalFormatting>
  <x:dataValidations count="2">
    <x:dataValidation type="list" sqref="B14">
      <x:formula1>"LTM,5Y Average"</x:formula1>
    </x:dataValidation>
    <x:dataValidation type="list" sqref="B16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46" hidden="0" customWidth="1"/>
  </x:cols>
  <x:sheetData>
    <x:row r="1" ht="28" customHeight="1">
      <x:c r="A1" s="30" t="str">
        <x:v>Historical Financial Data — Enter $ millions except per-share data</x:v>
      </x:c>
      <x:c r="B1" s="31"/>
      <x:c r="C1" s="31"/>
      <x:c r="D1" s="31"/>
      <x:c r="E1" s="31"/>
      <x:c r="F1" s="31"/>
      <x:c r="G1" s="31"/>
      <x:c r="H1" s="31"/>
      <x:c r="I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</x:row>
    <x:row r="3">
      <x:c r="A3" s="15" t="str">
        <x:v>Metric</x:v>
      </x:c>
      <x:c r="B3" s="15" t="str">
        <x:v>FY-4</x:v>
      </x:c>
      <x:c r="C3" s="15" t="str">
        <x:v>FY-3</x:v>
      </x:c>
      <x:c r="D3" s="15" t="str">
        <x:v>FY-2</x:v>
      </x:c>
      <x:c r="E3" s="15" t="str">
        <x:v>FY-1</x:v>
      </x:c>
      <x:c r="F3" s="15" t="str">
        <x:v>FY0</x:v>
      </x:c>
      <x:c r="G3" s="15" t="str">
        <x:v>LTM</x:v>
      </x:c>
      <x:c r="H3" s="15" t="str">
        <x:v>Units</x:v>
      </x:c>
      <x:c r="I3" s="15" t="str">
        <x:v>Source / Notes</x:v>
      </x:c>
    </x:row>
    <x:row r="4" ht="20" customHeight="1">
      <x:c r="A4" s="32" t="str">
        <x:v>Income Statement</x:v>
      </x:c>
      <x:c r="B4" s="31" t="str"/>
      <x:c r="C4" s="31" t="str"/>
      <x:c r="D4" s="31" t="str"/>
      <x:c r="E4" s="31" t="str"/>
      <x:c r="F4" s="31" t="str"/>
      <x:c r="G4" s="31" t="str"/>
      <x:c r="H4" s="31" t="str"/>
      <x:c r="I4" s="31" t="str"/>
    </x:row>
    <x:row r="5">
      <x:c r="A5" s="31" t="str">
        <x:v>Revenue</x:v>
      </x:c>
      <x:c r="B5" s="56" t="str"/>
      <x:c r="C5" s="56" t="str"/>
      <x:c r="D5" s="56" t="str"/>
      <x:c r="E5" s="56" t="str"/>
      <x:c r="F5" s="56" t="str"/>
      <x:c r="G5" s="56" t="str"/>
      <x:c r="H5" s="31" t="str">
        <x:v>$mm</x:v>
      </x:c>
      <x:c r="I5" s="31" t="str"/>
    </x:row>
    <x:row r="6">
      <x:c r="A6" s="31" t="str">
        <x:v>EBIT / Operating income</x:v>
      </x:c>
      <x:c r="B6" s="56" t="str"/>
      <x:c r="C6" s="56" t="str"/>
      <x:c r="D6" s="56" t="str"/>
      <x:c r="E6" s="56" t="str"/>
      <x:c r="F6" s="56" t="str"/>
      <x:c r="G6" s="56" t="str"/>
      <x:c r="H6" s="31" t="str">
        <x:v>$mm</x:v>
      </x:c>
      <x:c r="I6" s="31" t="str"/>
    </x:row>
    <x:row r="7">
      <x:c r="A7" s="31" t="str">
        <x:v>Interest expense</x:v>
      </x:c>
      <x:c r="B7" s="56" t="str"/>
      <x:c r="C7" s="56" t="str"/>
      <x:c r="D7" s="56" t="str"/>
      <x:c r="E7" s="56" t="str"/>
      <x:c r="F7" s="56" t="str"/>
      <x:c r="G7" s="56" t="str"/>
      <x:c r="H7" s="31" t="str">
        <x:v>$mm</x:v>
      </x:c>
      <x:c r="I7" s="31" t="str"/>
    </x:row>
    <x:row r="8">
      <x:c r="A8" s="31" t="str">
        <x:v>Pretax income</x:v>
      </x:c>
      <x:c r="B8" s="56" t="str"/>
      <x:c r="C8" s="56" t="str"/>
      <x:c r="D8" s="56" t="str"/>
      <x:c r="E8" s="56" t="str"/>
      <x:c r="F8" s="56" t="str"/>
      <x:c r="G8" s="56" t="str"/>
      <x:c r="H8" s="31" t="str">
        <x:v>$mm</x:v>
      </x:c>
      <x:c r="I8" s="31" t="str"/>
    </x:row>
    <x:row r="9">
      <x:c r="A9" s="31" t="str">
        <x:v>Income tax expense</x:v>
      </x:c>
      <x:c r="B9" s="56" t="str"/>
      <x:c r="C9" s="56" t="str"/>
      <x:c r="D9" s="56" t="str"/>
      <x:c r="E9" s="56" t="str"/>
      <x:c r="F9" s="56" t="str"/>
      <x:c r="G9" s="56" t="str"/>
      <x:c r="H9" s="31" t="str">
        <x:v>$mm</x:v>
      </x:c>
      <x:c r="I9" s="31" t="str"/>
    </x:row>
    <x:row r="10">
      <x:c r="A10" s="31" t="str">
        <x:v>Net income attributable to common</x:v>
      </x:c>
      <x:c r="B10" s="56" t="str"/>
      <x:c r="C10" s="56" t="str"/>
      <x:c r="D10" s="56" t="str"/>
      <x:c r="E10" s="56" t="str"/>
      <x:c r="F10" s="56" t="str"/>
      <x:c r="G10" s="56" t="str"/>
      <x:c r="H10" s="31" t="str">
        <x:v>$mm</x:v>
      </x:c>
      <x:c r="I10" s="31" t="str"/>
    </x:row>
    <x:row r="11">
      <x:c r="A11" s="31" t="str">
        <x:v>Diluted EPS</x:v>
      </x:c>
      <x:c r="B11" s="68" t="str"/>
      <x:c r="C11" s="68" t="str"/>
      <x:c r="D11" s="68" t="str"/>
      <x:c r="E11" s="68" t="str"/>
      <x:c r="F11" s="68" t="str"/>
      <x:c r="G11" s="68" t="str"/>
      <x:c r="H11" s="31" t="str">
        <x:v>$/share</x:v>
      </x:c>
      <x:c r="I11" s="31" t="str"/>
    </x:row>
    <x:row r="12">
      <x:c r="A12" s="31" t="str">
        <x:v>Diluted shares outstanding</x:v>
      </x:c>
      <x:c r="B12" s="69" t="str"/>
      <x:c r="C12" s="69" t="str"/>
      <x:c r="D12" s="69" t="str"/>
      <x:c r="E12" s="69" t="str"/>
      <x:c r="F12" s="69" t="str"/>
      <x:c r="G12" s="69" t="str"/>
      <x:c r="H12" s="31" t="str">
        <x:v>mm</x:v>
      </x:c>
      <x:c r="I12" s="31" t="str"/>
    </x:row>
    <x:row r="13" ht="20" customHeight="1">
      <x:c r="A13" s="32" t="str">
        <x:v>Cash Flow Statement</x:v>
      </x:c>
      <x:c r="B13" s="69" t="str"/>
      <x:c r="C13" s="69" t="str"/>
      <x:c r="D13" s="69" t="str"/>
      <x:c r="E13" s="69" t="str"/>
      <x:c r="F13" s="69" t="str"/>
      <x:c r="G13" s="69" t="str"/>
      <x:c r="H13" s="31" t="str"/>
      <x:c r="I13" s="31" t="str"/>
    </x:row>
    <x:row r="14">
      <x:c r="A14" s="31" t="str">
        <x:v>Depreciation &amp; amortization</x:v>
      </x:c>
      <x:c r="B14" s="56" t="str"/>
      <x:c r="C14" s="56" t="str"/>
      <x:c r="D14" s="56" t="str"/>
      <x:c r="E14" s="56" t="str"/>
      <x:c r="F14" s="56" t="str"/>
      <x:c r="G14" s="56" t="str"/>
      <x:c r="H14" s="31" t="str">
        <x:v>$mm</x:v>
      </x:c>
      <x:c r="I14" s="31" t="str"/>
    </x:row>
    <x:row r="15">
      <x:c r="A15" s="31" t="str">
        <x:v>Stock-based compensation</x:v>
      </x:c>
      <x:c r="B15" s="56" t="str"/>
      <x:c r="C15" s="56" t="str"/>
      <x:c r="D15" s="56" t="str"/>
      <x:c r="E15" s="56" t="str"/>
      <x:c r="F15" s="56" t="str"/>
      <x:c r="G15" s="56" t="str"/>
      <x:c r="H15" s="31" t="str">
        <x:v>$mm</x:v>
      </x:c>
      <x:c r="I15" s="31" t="str"/>
    </x:row>
    <x:row r="16">
      <x:c r="A16" s="31" t="str">
        <x:v>Other recurring non-cash charges</x:v>
      </x:c>
      <x:c r="B16" s="56" t="str"/>
      <x:c r="C16" s="56" t="str"/>
      <x:c r="D16" s="56" t="str"/>
      <x:c r="E16" s="56" t="str"/>
      <x:c r="F16" s="56" t="str"/>
      <x:c r="G16" s="56" t="str"/>
      <x:c r="H16" s="31" t="str">
        <x:v>$mm</x:v>
      </x:c>
      <x:c r="I16" s="31" t="str"/>
    </x:row>
    <x:row r="17">
      <x:c r="A17" s="31" t="str">
        <x:v>Total capital expenditures</x:v>
      </x:c>
      <x:c r="B17" s="56" t="str"/>
      <x:c r="C17" s="56" t="str"/>
      <x:c r="D17" s="56" t="str"/>
      <x:c r="E17" s="56" t="str"/>
      <x:c r="F17" s="56" t="str"/>
      <x:c r="G17" s="56" t="str"/>
      <x:c r="H17" s="31" t="str">
        <x:v>$mm</x:v>
      </x:c>
      <x:c r="I17" s="31" t="str"/>
    </x:row>
    <x:row r="18">
      <x:c r="A18" s="31" t="str">
        <x:v>Maintenance capex (manual, optional)</x:v>
      </x:c>
      <x:c r="B18" s="56" t="str"/>
      <x:c r="C18" s="56" t="str"/>
      <x:c r="D18" s="56" t="str"/>
      <x:c r="E18" s="56" t="str"/>
      <x:c r="F18" s="56" t="str"/>
      <x:c r="G18" s="56" t="str"/>
      <x:c r="H18" s="31" t="str">
        <x:v>$mm</x:v>
      </x:c>
      <x:c r="I18" s="31" t="str">
        <x:v>Leave blank to estimate from assumption</x:v>
      </x:c>
    </x:row>
    <x:row r="19">
      <x:c r="A19" s="31" t="str">
        <x:v>Recurring working-capital investment</x:v>
      </x:c>
      <x:c r="B19" s="56" t="str"/>
      <x:c r="C19" s="56" t="str"/>
      <x:c r="D19" s="56" t="str"/>
      <x:c r="E19" s="56" t="str"/>
      <x:c r="F19" s="56" t="str"/>
      <x:c r="G19" s="56" t="str"/>
      <x:c r="H19" s="31" t="str">
        <x:v>$mm</x:v>
      </x:c>
      <x:c r="I19" s="31" t="str">
        <x:v>Positive number = cash requirement</x:v>
      </x:c>
    </x:row>
    <x:row r="20">
      <x:c r="A20" s="31" t="str">
        <x:v>Operating cash flow</x:v>
      </x:c>
      <x:c r="B20" s="56" t="str"/>
      <x:c r="C20" s="56" t="str"/>
      <x:c r="D20" s="56" t="str"/>
      <x:c r="E20" s="56" t="str"/>
      <x:c r="F20" s="56" t="str"/>
      <x:c r="G20" s="56" t="str"/>
      <x:c r="H20" s="31" t="str">
        <x:v>$mm</x:v>
      </x:c>
      <x:c r="I20" s="31" t="str"/>
    </x:row>
    <x:row r="21">
      <x:c r="A21" s="31" t="str">
        <x:v>Free cash flow</x:v>
      </x:c>
      <x:c r="B21" s="56" t="str"/>
      <x:c r="C21" s="56" t="str"/>
      <x:c r="D21" s="56" t="str"/>
      <x:c r="E21" s="56" t="str"/>
      <x:c r="F21" s="56" t="str"/>
      <x:c r="G21" s="56" t="str"/>
      <x:c r="H21" s="31" t="str">
        <x:v>$mm</x:v>
      </x:c>
      <x:c r="I21" s="31" t="str">
        <x:v>Optional cross-check: OCF - total capex</x:v>
      </x:c>
    </x:row>
    <x:row r="22" ht="20" customHeight="1">
      <x:c r="A22" s="32" t="str">
        <x:v>Balance Sheet / Capital</x:v>
      </x:c>
      <x:c r="B22" s="69" t="str"/>
      <x:c r="C22" s="69" t="str"/>
      <x:c r="D22" s="69" t="str"/>
      <x:c r="E22" s="69" t="str"/>
      <x:c r="F22" s="69" t="str"/>
      <x:c r="G22" s="69" t="str"/>
      <x:c r="H22" s="31" t="str"/>
      <x:c r="I22" s="31" t="str"/>
    </x:row>
    <x:row r="23">
      <x:c r="A23" s="31" t="str">
        <x:v>Cash &amp; equivalents</x:v>
      </x:c>
      <x:c r="B23" s="56" t="str"/>
      <x:c r="C23" s="56" t="str"/>
      <x:c r="D23" s="56" t="str"/>
      <x:c r="E23" s="56" t="str"/>
      <x:c r="F23" s="56" t="str"/>
      <x:c r="G23" s="56" t="str"/>
      <x:c r="H23" s="31" t="str">
        <x:v>$mm</x:v>
      </x:c>
      <x:c r="I23" s="31" t="str"/>
    </x:row>
    <x:row r="24">
      <x:c r="A24" s="31" t="str">
        <x:v>Total debt</x:v>
      </x:c>
      <x:c r="B24" s="56" t="str"/>
      <x:c r="C24" s="56" t="str"/>
      <x:c r="D24" s="56" t="str"/>
      <x:c r="E24" s="56" t="str"/>
      <x:c r="F24" s="56" t="str"/>
      <x:c r="G24" s="56" t="str"/>
      <x:c r="H24" s="31" t="str">
        <x:v>$mm</x:v>
      </x:c>
      <x:c r="I24" s="31" t="str"/>
    </x:row>
    <x:row r="25">
      <x:c r="A25" s="31" t="str">
        <x:v>Total assets</x:v>
      </x:c>
      <x:c r="B25" s="56" t="str"/>
      <x:c r="C25" s="56" t="str"/>
      <x:c r="D25" s="56" t="str"/>
      <x:c r="E25" s="56" t="str"/>
      <x:c r="F25" s="56" t="str"/>
      <x:c r="G25" s="56" t="str"/>
      <x:c r="H25" s="31" t="str">
        <x:v>$mm</x:v>
      </x:c>
      <x:c r="I25" s="31" t="str"/>
    </x:row>
    <x:row r="26">
      <x:c r="A26" s="31" t="str">
        <x:v>Shareholders' equity</x:v>
      </x:c>
      <x:c r="B26" s="56" t="str"/>
      <x:c r="C26" s="56" t="str"/>
      <x:c r="D26" s="56" t="str"/>
      <x:c r="E26" s="56" t="str"/>
      <x:c r="F26" s="56" t="str"/>
      <x:c r="G26" s="56" t="str"/>
      <x:c r="H26" s="31" t="str">
        <x:v>$mm</x:v>
      </x:c>
      <x:c r="I26" s="31" t="str"/>
    </x:row>
    <x:row r="27">
      <x:c r="A27" s="31" t="str">
        <x:v>Invested capital</x:v>
      </x:c>
      <x:c r="B27" s="56" t="str"/>
      <x:c r="C27" s="56" t="str"/>
      <x:c r="D27" s="56" t="str"/>
      <x:c r="E27" s="56" t="str"/>
      <x:c r="F27" s="56" t="str"/>
      <x:c r="G27" s="56" t="str"/>
      <x:c r="H27" s="31" t="str">
        <x:v>$mm</x:v>
      </x:c>
      <x:c r="I27" s="31" t="str">
        <x:v>Debt + equity - excess cash; use consistent definition</x:v>
      </x:c>
    </x:row>
    <x:row r="28">
      <x:c r="A28" s="31" t="str">
        <x:v>Goodwill &amp; acquired intangibles</x:v>
      </x:c>
      <x:c r="B28" s="56" t="str"/>
      <x:c r="C28" s="56" t="str"/>
      <x:c r="D28" s="56" t="str"/>
      <x:c r="E28" s="56" t="str"/>
      <x:c r="F28" s="56" t="str"/>
      <x:c r="G28" s="56" t="str"/>
      <x:c r="H28" s="31" t="str">
        <x:v>$mm</x:v>
      </x:c>
      <x:c r="I28" s="31" t="str"/>
    </x:row>
    <x:row r="29" ht="20" customHeight="1">
      <x:c r="A29" s="32" t="str">
        <x:v>Other</x:v>
      </x:c>
      <x:c r="B29" s="56" t="str"/>
      <x:c r="C29" s="56" t="str"/>
      <x:c r="D29" s="56" t="str"/>
      <x:c r="E29" s="56" t="str"/>
      <x:c r="F29" s="56" t="str"/>
      <x:c r="G29" s="56" t="str"/>
      <x:c r="H29" s="31" t="str"/>
      <x:c r="I29" s="31" t="str"/>
    </x:row>
    <x:row r="30">
      <x:c r="A30" s="31" t="str">
        <x:v>Dividends paid</x:v>
      </x:c>
      <x:c r="B30" s="56" t="str"/>
      <x:c r="C30" s="56" t="str"/>
      <x:c r="D30" s="56" t="str"/>
      <x:c r="E30" s="56" t="str"/>
      <x:c r="F30" s="56" t="str"/>
      <x:c r="G30" s="56" t="str"/>
      <x:c r="H30" s="31" t="str">
        <x:v>$mm</x:v>
      </x:c>
      <x:c r="I30" s="31" t="str"/>
    </x:row>
    <x:row r="31">
      <x:c r="A31" s="31" t="str">
        <x:v>Share repurchases</x:v>
      </x:c>
      <x:c r="B31" s="56" t="str"/>
      <x:c r="C31" s="56" t="str"/>
      <x:c r="D31" s="56" t="str"/>
      <x:c r="E31" s="56" t="str"/>
      <x:c r="F31" s="56" t="str"/>
      <x:c r="G31" s="56" t="str"/>
      <x:c r="H31" s="31" t="str">
        <x:v>$mm</x:v>
      </x:c>
      <x:c r="I31" s="31" t="str"/>
    </x:row>
  </x:sheetData>
  <x:mergeCells>
    <x:mergeCell ref="A1:I1"/>
    <x:mergeCell ref="A4:I4"/>
    <x:mergeCell ref="A13:I13"/>
    <x:mergeCell ref="A22:I22"/>
    <x:mergeCell ref="A29:I2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48" hidden="0" customWidth="1"/>
  </x:cols>
  <x:sheetData>
    <x:row r="1" ht="28" customHeight="1">
      <x:c r="A1" s="30" t="str">
        <x:v>Owner Earnings &amp; Earning Power</x:v>
      </x:c>
      <x:c r="B1" s="31"/>
      <x:c r="C1" s="31"/>
      <x:c r="D1" s="31"/>
      <x:c r="E1" s="31"/>
      <x:c r="F1" s="31"/>
      <x:c r="G1" s="31"/>
      <x:c r="H1" s="31"/>
      <x:c r="I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</x:row>
    <x:row r="3">
      <x:c r="A3" s="15" t="str">
        <x:v>Metric</x:v>
      </x:c>
      <x:c r="B3" s="15" t="str">
        <x:v>FY-4</x:v>
      </x:c>
      <x:c r="C3" s="15" t="str">
        <x:v>FY-3</x:v>
      </x:c>
      <x:c r="D3" s="15" t="str">
        <x:v>FY-2</x:v>
      </x:c>
      <x:c r="E3" s="15" t="str">
        <x:v>FY-1</x:v>
      </x:c>
      <x:c r="F3" s="15" t="str">
        <x:v>FY0</x:v>
      </x:c>
      <x:c r="G3" s="15" t="str">
        <x:v>LTM</x:v>
      </x:c>
      <x:c r="H3" s="15" t="str">
        <x:v>Units</x:v>
      </x:c>
      <x:c r="I3" s="15" t="str">
        <x:v>Source / Notes</x:v>
      </x:c>
    </x:row>
    <x:row r="4">
      <x:c r="A4" s="31" t="str">
        <x:v>Net income attributable to common</x:v>
      </x:c>
      <x:c r="B4" s="92" t="n">
        <x:f>'Historical Data'!B10</x:f>
        <x:v>0</x:v>
      </x:c>
      <x:c r="C4" s="92" t="n">
        <x:f>'Historical Data'!C10</x:f>
        <x:v>0</x:v>
      </x:c>
      <x:c r="D4" s="92" t="n">
        <x:f>'Historical Data'!D10</x:f>
        <x:v>0</x:v>
      </x:c>
      <x:c r="E4" s="92" t="n">
        <x:f>'Historical Data'!E10</x:f>
        <x:v>0</x:v>
      </x:c>
      <x:c r="F4" s="92" t="n">
        <x:f>'Historical Data'!F10</x:f>
        <x:v>0</x:v>
      </x:c>
      <x:c r="G4" s="92" t="str">
        <x:f>'Historical Data'!G10</x:f>
      </x:c>
      <x:c r="H4" s="31" t="str">
        <x:v>$mm</x:v>
      </x:c>
      <x:c r="I4" s="31" t="str">
        <x:v>After interest and tax</x:v>
      </x:c>
    </x:row>
    <x:row r="5">
      <x:c r="A5" s="31" t="str">
        <x:v>+ Depreciation &amp; amortization</x:v>
      </x:c>
      <x:c r="B5" s="92" t="n">
        <x:f>'Historical Data'!B14</x:f>
        <x:v>0</x:v>
      </x:c>
      <x:c r="C5" s="92" t="n">
        <x:f>'Historical Data'!C14</x:f>
        <x:v>0</x:v>
      </x:c>
      <x:c r="D5" s="92" t="n">
        <x:f>'Historical Data'!D14</x:f>
        <x:v>0</x:v>
      </x:c>
      <x:c r="E5" s="92" t="n">
        <x:f>'Historical Data'!E14</x:f>
        <x:v>0</x:v>
      </x:c>
      <x:c r="F5" s="92" t="n">
        <x:f>'Historical Data'!F14</x:f>
        <x:v>0</x:v>
      </x:c>
      <x:c r="G5" s="92" t="str">
        <x:f>'Historical Data'!G14</x:f>
      </x:c>
      <x:c r="H5" s="31" t="str">
        <x:v>$mm</x:v>
      </x:c>
      <x:c r="I5" s="31" t="str">
        <x:v>Added back</x:v>
      </x:c>
    </x:row>
    <x:row r="6">
      <x:c r="A6" s="31" t="str">
        <x:v>+ Other recurring non-cash charges</x:v>
      </x:c>
      <x:c r="B6" s="92" t="n">
        <x:f>'Historical Data'!B16</x:f>
        <x:v>0</x:v>
      </x:c>
      <x:c r="C6" s="92" t="n">
        <x:f>'Historical Data'!C16</x:f>
        <x:v>0</x:v>
      </x:c>
      <x:c r="D6" s="92" t="n">
        <x:f>'Historical Data'!D16</x:f>
        <x:v>0</x:v>
      </x:c>
      <x:c r="E6" s="92" t="n">
        <x:f>'Historical Data'!E16</x:f>
        <x:v>0</x:v>
      </x:c>
      <x:c r="F6" s="92" t="n">
        <x:f>'Historical Data'!F16</x:f>
        <x:v>0</x:v>
      </x:c>
      <x:c r="G6" s="92" t="str">
        <x:f>'Historical Data'!G16</x:f>
      </x:c>
      <x:c r="H6" s="31" t="str">
        <x:v>$mm</x:v>
      </x:c>
      <x:c r="I6" s="31" t="str">
        <x:v>Added back only if recurring and non-cash</x:v>
      </x:c>
    </x:row>
    <x:row r="7">
      <x:c r="A7" s="31" t="str">
        <x:v>− Stock-based compensation (if selected)</x:v>
      </x:c>
      <x:c r="B7" s="92" t="str">
        <x:f>IF(Assumptions!$B$16="Yes",'Historical Data'!B15,0)</x:f>
      </x:c>
      <x:c r="C7" s="92" t="str">
        <x:f>IF(Assumptions!$B$16="Yes",'Historical Data'!C15,0)</x:f>
      </x:c>
      <x:c r="D7" s="92" t="str">
        <x:f>IF(Assumptions!$B$16="Yes",'Historical Data'!D15,0)</x:f>
      </x:c>
      <x:c r="E7" s="92" t="str">
        <x:f>IF(Assumptions!$B$16="Yes",'Historical Data'!E15,0)</x:f>
      </x:c>
      <x:c r="F7" s="92" t="str">
        <x:f>IF(Assumptions!$B$16="Yes",'Historical Data'!F15,0)</x:f>
      </x:c>
      <x:c r="G7" s="92" t="str">
        <x:f>IF(Assumptions!$B$16="Yes",'Historical Data'!G15,0)</x:f>
      </x:c>
      <x:c r="H7" s="31" t="str">
        <x:v>$mm</x:v>
      </x:c>
      <x:c r="I7" s="31" t="str">
        <x:v>Conservative treatment when toggle = Yes</x:v>
      </x:c>
    </x:row>
    <x:row r="8">
      <x:c r="A8" s="31" t="str">
        <x:v>− Maintenance capex</x:v>
      </x:c>
      <x:c r="B8" s="92" t="n">
        <x:f>IF('Historical Data'!B18&lt;&gt;"",'Historical Data'!B18,'Historical Data'!B17*Assumptions!$B$15)</x:f>
        <x:v>0</x:v>
      </x:c>
      <x:c r="C8" s="92" t="n">
        <x:f>IF('Historical Data'!C18&lt;&gt;"",'Historical Data'!C18,'Historical Data'!C17*Assumptions!$B$15)</x:f>
        <x:v>0</x:v>
      </x:c>
      <x:c r="D8" s="92" t="n">
        <x:f>IF('Historical Data'!D18&lt;&gt;"",'Historical Data'!D18,'Historical Data'!D17*Assumptions!$B$15)</x:f>
        <x:v>0</x:v>
      </x:c>
      <x:c r="E8" s="92" t="n">
        <x:f>IF('Historical Data'!E18&lt;&gt;"",'Historical Data'!E18,'Historical Data'!E17*Assumptions!$B$15)</x:f>
        <x:v>0</x:v>
      </x:c>
      <x:c r="F8" s="92" t="n">
        <x:f>IF('Historical Data'!F18&lt;&gt;"",'Historical Data'!F18,'Historical Data'!F17*Assumptions!$B$15)</x:f>
        <x:v>0</x:v>
      </x:c>
      <x:c r="G8" s="92" t="n">
        <x:f>IF('Historical Data'!G18&lt;&gt;"",'Historical Data'!G18,'Historical Data'!G17*Assumptions!$B$15)</x:f>
        <x:v>0</x:v>
      </x:c>
      <x:c r="H8" s="31" t="str">
        <x:v>$mm</x:v>
      </x:c>
      <x:c r="I8" s="31" t="str">
        <x:v>Manual amount or estimated percentage of total capex</x:v>
      </x:c>
    </x:row>
    <x:row r="9">
      <x:c r="A9" s="31" t="str">
        <x:v>− Recurring working-capital investment</x:v>
      </x:c>
      <x:c r="B9" s="92" t="n">
        <x:f>'Historical Data'!B19</x:f>
        <x:v>0</x:v>
      </x:c>
      <x:c r="C9" s="92" t="n">
        <x:f>'Historical Data'!C19</x:f>
        <x:v>0</x:v>
      </x:c>
      <x:c r="D9" s="92" t="n">
        <x:f>'Historical Data'!D19</x:f>
        <x:v>0</x:v>
      </x:c>
      <x:c r="E9" s="92" t="n">
        <x:f>'Historical Data'!E19</x:f>
        <x:v>0</x:v>
      </x:c>
      <x:c r="F9" s="92" t="n">
        <x:f>'Historical Data'!F19</x:f>
        <x:v>0</x:v>
      </x:c>
      <x:c r="G9" s="92" t="str">
        <x:f>'Historical Data'!G19</x:f>
      </x:c>
      <x:c r="H9" s="31" t="str">
        <x:v>$mm</x:v>
      </x:c>
      <x:c r="I9" s="31" t="str">
        <x:v>Positive amount reduces owner earnings</x:v>
      </x:c>
    </x:row>
    <x:row r="10">
      <x:c r="A10" s="93" t="str">
        <x:v>Owner earnings</x:v>
      </x:c>
      <x:c r="B10" s="94" t="str">
        <x:f>IF(COUNT(B4:B9)&lt;6,"",B4+B5+B6-B7-B8-B9)</x:f>
      </x:c>
      <x:c r="C10" s="94" t="str">
        <x:f>IF(COUNT(C4:C9)&lt;6,"",C4+C5+C6-C7-C8-C9)</x:f>
      </x:c>
      <x:c r="D10" s="94" t="str">
        <x:f>IF(COUNT(D4:D9)&lt;6,"",D4+D5+D6-D7-D8-D9)</x:f>
      </x:c>
      <x:c r="E10" s="94" t="str">
        <x:f>IF(COUNT(E4:E9)&lt;6,"",E4+E5+E6-E7-E8-E9)</x:f>
      </x:c>
      <x:c r="F10" s="94" t="str">
        <x:f>IF(COUNT(F4:F9)&lt;6,"",F4+F5+F6-F7-F8-F9)</x:f>
      </x:c>
      <x:c r="G10" s="94" t="str">
        <x:f>IF(COUNT(G4:G9)&lt;6,"",G4+G5+G6-G7-G8-G9)</x:f>
      </x:c>
      <x:c r="H10" s="31" t="str">
        <x:v>$mm</x:v>
      </x:c>
      <x:c r="I10" s="31" t="str">
        <x:v>Buffett-style normalized cash earning power</x:v>
      </x:c>
    </x:row>
    <x:row r="11">
      <x:c r="A11" s="31" t="str">
        <x:v>Diluted shares outstanding</x:v>
      </x:c>
      <x:c r="B11" s="92" t="n">
        <x:f>'Historical Data'!B12</x:f>
        <x:v>0</x:v>
      </x:c>
      <x:c r="C11" s="92" t="n">
        <x:f>'Historical Data'!C12</x:f>
        <x:v>0</x:v>
      </x:c>
      <x:c r="D11" s="92" t="n">
        <x:f>'Historical Data'!D12</x:f>
        <x:v>0</x:v>
      </x:c>
      <x:c r="E11" s="92" t="n">
        <x:f>'Historical Data'!E12</x:f>
        <x:v>0</x:v>
      </x:c>
      <x:c r="F11" s="92" t="n">
        <x:f>'Historical Data'!F12</x:f>
        <x:v>0</x:v>
      </x:c>
      <x:c r="G11" s="92" t="n">
        <x:f>'Historical Data'!G12</x:f>
        <x:v>0</x:v>
      </x:c>
      <x:c r="H11" s="31" t="str">
        <x:v>mm</x:v>
      </x:c>
      <x:c r="I11" s="31" t="str">
        <x:v>Diluted</x:v>
      </x:c>
    </x:row>
    <x:row r="12">
      <x:c r="A12" s="31" t="str">
        <x:v>Owner earnings per share</x:v>
      </x:c>
      <x:c r="B12" s="95" t="str">
        <x:f>IFERROR(B10/B11,"")</x:f>
      </x:c>
      <x:c r="C12" s="95" t="str">
        <x:f>IFERROR(C10/C11,"")</x:f>
      </x:c>
      <x:c r="D12" s="95" t="str">
        <x:f>IFERROR(D10/D11,"")</x:f>
      </x:c>
      <x:c r="E12" s="95" t="str">
        <x:f>IFERROR(E10/E11,"")</x:f>
      </x:c>
      <x:c r="F12" s="95" t="str">
        <x:f>IFERROR(F10/F11,"")</x:f>
      </x:c>
      <x:c r="G12" s="95" t="str">
        <x:f>IFERROR(G10/G11,"")</x:f>
      </x:c>
      <x:c r="H12" s="31" t="str">
        <x:v>$/share</x:v>
      </x:c>
      <x:c r="I12" s="31" t="str">
        <x:v>Primary valuation input</x:v>
      </x:c>
    </x:row>
    <x:row r="13">
      <x:c r="A13" s="31" t="str">
        <x:v>Owner earnings margin</x:v>
      </x:c>
      <x:c r="B13" s="96" t="str">
        <x:f>IFERROR(B10/'Historical Data'!B5,"")</x:f>
      </x:c>
      <x:c r="C13" s="96" t="str">
        <x:f>IFERROR(C10/'Historical Data'!C5,"")</x:f>
      </x:c>
      <x:c r="D13" s="96" t="str">
        <x:f>IFERROR(D10/'Historical Data'!D5,"")</x:f>
      </x:c>
      <x:c r="E13" s="96" t="str">
        <x:f>IFERROR(E10/'Historical Data'!E5,"")</x:f>
      </x:c>
      <x:c r="F13" s="96" t="str">
        <x:f>IFERROR(F10/'Historical Data'!F5,"")</x:f>
      </x:c>
      <x:c r="G13" s="96" t="str">
        <x:f>IFERROR(G10/'Historical Data'!G5,"")</x:f>
      </x:c>
      <x:c r="H13" s="31" t="str">
        <x:v>%</x:v>
      </x:c>
      <x:c r="I13" s="31" t="str">
        <x:v>Cash earning efficiency</x:v>
      </x:c>
    </x:row>
    <x:row r="14">
      <x:c r="A14" s="31" t="str">
        <x:v>Owner earnings / net income</x:v>
      </x:c>
      <x:c r="B14" s="97" t="str">
        <x:f>IFERROR(B10/B4,"")</x:f>
      </x:c>
      <x:c r="C14" s="97" t="str">
        <x:f>IFERROR(C10/C4,"")</x:f>
      </x:c>
      <x:c r="D14" s="97" t="str">
        <x:f>IFERROR(D10/D4,"")</x:f>
      </x:c>
      <x:c r="E14" s="97" t="str">
        <x:f>IFERROR(E10/E4,"")</x:f>
      </x:c>
      <x:c r="F14" s="97" t="str">
        <x:f>IFERROR(F10/F4,"")</x:f>
      </x:c>
      <x:c r="G14" s="97" t="str">
        <x:f>IFERROR(G10/G4,"")</x:f>
      </x:c>
      <x:c r="H14" s="31" t="str">
        <x:v>x</x:v>
      </x:c>
      <x:c r="I14" s="31" t="str">
        <x:v>Conversion of accounting income into owner earnings</x:v>
      </x:c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</x:row>
    <x:row r="16" ht="20" customHeight="1">
      <x:c r="A16" s="32" t="str">
        <x:v>Normalized Owner Earnings</x:v>
      </x:c>
      <x:c r="B16" s="31"/>
      <x:c r="C16" s="31"/>
      <x:c r="D16" s="31"/>
      <x:c r="E16" s="31"/>
      <x:c r="F16" s="31"/>
      <x:c r="G16" s="31"/>
      <x:c r="H16" s="31"/>
      <x:c r="I16" s="31"/>
    </x:row>
    <x:row r="17">
      <x:c r="A17" s="15" t="str">
        <x:v>Metric</x:v>
      </x:c>
      <x:c r="B17" s="15" t="str">
        <x:v>Value</x:v>
      </x:c>
      <x:c r="C17" s="15" t="str">
        <x:v>Explanation</x:v>
      </x:c>
      <x:c r="D17" s="31"/>
      <x:c r="E17" s="31"/>
      <x:c r="F17" s="31"/>
      <x:c r="G17" s="31"/>
      <x:c r="H17" s="31"/>
      <x:c r="I17" s="31"/>
    </x:row>
    <x:row r="18">
      <x:c r="A18" s="31" t="str">
        <x:v>Selected normalized owner earnings ($mm)</x:v>
      </x:c>
      <x:c r="B18" s="53" t="str">
        <x:f>IF(Assumptions!B14="LTM",G10,AVERAGE(B10:F10))</x:f>
      </x:c>
      <x:c r="C18" s="31" t="str">
        <x:v>LTM or average of the five fiscal years</x:v>
      </x:c>
      <x:c r="D18" s="31"/>
      <x:c r="E18" s="31"/>
      <x:c r="F18" s="31"/>
      <x:c r="G18" s="31"/>
      <x:c r="H18" s="31"/>
      <x:c r="I18" s="31"/>
    </x:row>
    <x:row r="19">
      <x:c r="A19" s="31" t="str">
        <x:v>Selected diluted shares (mm)</x:v>
      </x:c>
      <x:c r="B19" s="53" t="n">
        <x:f>G11</x:f>
        <x:v>0</x:v>
      </x:c>
      <x:c r="C19" s="31" t="str">
        <x:v>LTM diluted shares</x:v>
      </x:c>
      <x:c r="D19" s="31"/>
      <x:c r="E19" s="31"/>
      <x:c r="F19" s="31"/>
      <x:c r="G19" s="31"/>
      <x:c r="H19" s="31"/>
      <x:c r="I19" s="31"/>
    </x:row>
    <x:row r="20">
      <x:c r="A20" s="31" t="str">
        <x:v>Normalized owner earnings/share</x:v>
      </x:c>
      <x:c r="B20" s="98" t="str">
        <x:f>IFERROR(B18/B19,"")</x:f>
      </x:c>
      <x:c r="C20" s="31" t="str">
        <x:v>Core earning-power input</x:v>
      </x:c>
      <x:c r="D20" s="31"/>
      <x:c r="E20" s="31"/>
      <x:c r="F20" s="31"/>
      <x:c r="G20" s="31"/>
      <x:c r="H20" s="31"/>
      <x:c r="I20" s="31"/>
    </x:row>
    <x:row r="21">
      <x:c r="A21" s="31" t="str">
        <x:v>No-growth earning power value/share</x:v>
      </x:c>
      <x:c r="B21" s="98" t="n">
        <x:f>IFERROR(B20/Assumptions!B28,"")</x:f>
        <x:v>0</x:v>
      </x:c>
      <x:c r="C21" s="31" t="str">
        <x:v>Owner earnings/share ÷ required return</x:v>
      </x:c>
      <x:c r="D21" s="31"/>
      <x:c r="E21" s="31"/>
      <x:c r="F21" s="31"/>
      <x:c r="G21" s="31"/>
      <x:c r="H21" s="31"/>
      <x:c r="I21" s="31"/>
    </x:row>
    <x:row r="22">
      <x:c r="A22" s="31" t="str">
        <x:v>Current owner earnings yield</x:v>
      </x:c>
      <x:c r="B22" s="99" t="str">
        <x:f>IFERROR(B20/Assumptions!B7,"")</x:f>
      </x:c>
      <x:c r="C22" s="31" t="str">
        <x:v>Owner earnings/share ÷ current price</x:v>
      </x:c>
      <x:c r="D22" s="31"/>
      <x:c r="E22" s="31"/>
      <x:c r="F22" s="31"/>
      <x:c r="G22" s="31"/>
      <x:c r="H22" s="31"/>
      <x:c r="I22" s="31"/>
    </x:row>
    <x:row r="23">
      <x:c r="A23" s="31" t="str">
        <x:v>Price / owner earnings</x:v>
      </x:c>
      <x:c r="B23" s="100" t="str">
        <x:f>IFERROR(Assumptions!B7/B20,"")</x:f>
      </x:c>
      <x:c r="C23" s="31" t="str">
        <x:v>Current price ÷ owner earnings/share</x:v>
      </x:c>
      <x:c r="D23" s="31"/>
      <x:c r="E23" s="31"/>
      <x:c r="F23" s="31"/>
      <x:c r="G23" s="31"/>
      <x:c r="H23" s="31"/>
      <x:c r="I23" s="31"/>
    </x:row>
    <x:row r="24">
      <x:c r="A24" s="31" t="str">
        <x:v>Buy price at minimum OE yield</x:v>
      </x:c>
      <x:c r="B24" s="98" t="n">
        <x:f>IFERROR(B20/Assumptions!B30,"")</x:f>
        <x:v>0</x:v>
      </x:c>
      <x:c r="C24" s="31" t="str">
        <x:v>OE/share ÷ minimum acceptable yield</x:v>
      </x:c>
      <x:c r="D24" s="31"/>
      <x:c r="E24" s="31"/>
      <x:c r="F24" s="31"/>
      <x:c r="G24" s="31"/>
      <x:c r="H24" s="31"/>
      <x:c r="I24" s="31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</x:row>
  </x:sheetData>
  <x:mergeCells>
    <x:mergeCell ref="A1:I1"/>
    <x:mergeCell ref="A16:I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48" hidden="0" customWidth="1"/>
  </x:cols>
  <x:sheetData>
    <x:row r="1" ht="28" customHeight="1">
      <x:c r="A1" s="30" t="str">
        <x:v>Buffett–Munger Business Quality Analysis</x:v>
      </x:c>
      <x:c r="B1" s="31"/>
      <x:c r="C1" s="31"/>
      <x:c r="D1" s="31"/>
      <x:c r="E1" s="31"/>
      <x:c r="F1" s="31"/>
      <x:c r="G1" s="31"/>
      <x:c r="H1" s="31"/>
      <x:c r="I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</x:row>
    <x:row r="3">
      <x:c r="A3" s="15" t="str">
        <x:v>Metric</x:v>
      </x:c>
      <x:c r="B3" s="15" t="str">
        <x:v>FY-4</x:v>
      </x:c>
      <x:c r="C3" s="15" t="str">
        <x:v>FY-3</x:v>
      </x:c>
      <x:c r="D3" s="15" t="str">
        <x:v>FY-2</x:v>
      </x:c>
      <x:c r="E3" s="15" t="str">
        <x:v>FY-1</x:v>
      </x:c>
      <x:c r="F3" s="15" t="str">
        <x:v>FY0</x:v>
      </x:c>
      <x:c r="G3" s="15" t="str">
        <x:v>LTM</x:v>
      </x:c>
      <x:c r="H3" s="15" t="str">
        <x:v>Units</x:v>
      </x:c>
      <x:c r="I3" s="15" t="str">
        <x:v>Source / Notes</x:v>
      </x:c>
    </x:row>
    <x:row r="4">
      <x:c r="A4" s="31" t="str">
        <x:v>Revenue growth</x:v>
      </x:c>
      <x:c r="B4" s="96" t="str"/>
      <x:c r="C4" s="96" t="str">
        <x:f>IFERROR('Historical Data'!C5/'Historical Data'!B5-1,"")</x:f>
      </x:c>
      <x:c r="D4" s="96" t="str">
        <x:f>IFERROR('Historical Data'!D5/'Historical Data'!C5-1,"")</x:f>
      </x:c>
      <x:c r="E4" s="96" t="str">
        <x:f>IFERROR('Historical Data'!E5/'Historical Data'!D5-1,"")</x:f>
      </x:c>
      <x:c r="F4" s="96" t="str">
        <x:f>IFERROR('Historical Data'!F5/'Historical Data'!E5-1,"")</x:f>
      </x:c>
      <x:c r="G4" s="96" t="str">
        <x:f>IFERROR('Historical Data'!G5/'Historical Data'!F5-1,"")</x:f>
      </x:c>
      <x:c r="H4" s="31" t="str">
        <x:v>%</x:v>
      </x:c>
      <x:c r="I4" s="31" t="str">
        <x:v>Consistency matters more than one strong year</x:v>
      </x:c>
    </x:row>
    <x:row r="5">
      <x:c r="A5" s="31" t="str">
        <x:v>EBIT margin</x:v>
      </x:c>
      <x:c r="B5" s="96" t="str">
        <x:f>IFERROR('Historical Data'!B6/'Historical Data'!B5,"")</x:f>
      </x:c>
      <x:c r="C5" s="96" t="str">
        <x:f>IFERROR('Historical Data'!C6/'Historical Data'!C5,"")</x:f>
      </x:c>
      <x:c r="D5" s="96" t="str">
        <x:f>IFERROR('Historical Data'!D6/'Historical Data'!D5,"")</x:f>
      </x:c>
      <x:c r="E5" s="96" t="str">
        <x:f>IFERROR('Historical Data'!E6/'Historical Data'!E5,"")</x:f>
      </x:c>
      <x:c r="F5" s="96" t="str">
        <x:f>IFERROR('Historical Data'!F6/'Historical Data'!F5,"")</x:f>
      </x:c>
      <x:c r="G5" s="96" t="str">
        <x:f>IFERROR('Historical Data'!G6/'Historical Data'!G5,"")</x:f>
      </x:c>
      <x:c r="H5" s="31" t="str">
        <x:v>%</x:v>
      </x:c>
      <x:c r="I5" s="31" t="str">
        <x:v>Pricing power and operating discipline</x:v>
      </x:c>
    </x:row>
    <x:row r="6">
      <x:c r="A6" s="31" t="str">
        <x:v>Net margin</x:v>
      </x:c>
      <x:c r="B6" s="96" t="str">
        <x:f>IFERROR('Historical Data'!B10/'Historical Data'!B5,"")</x:f>
      </x:c>
      <x:c r="C6" s="96" t="str">
        <x:f>IFERROR('Historical Data'!C10/'Historical Data'!C5,"")</x:f>
      </x:c>
      <x:c r="D6" s="96" t="str">
        <x:f>IFERROR('Historical Data'!D10/'Historical Data'!D5,"")</x:f>
      </x:c>
      <x:c r="E6" s="96" t="str">
        <x:f>IFERROR('Historical Data'!E10/'Historical Data'!E5,"")</x:f>
      </x:c>
      <x:c r="F6" s="96" t="str">
        <x:f>IFERROR('Historical Data'!F10/'Historical Data'!F5,"")</x:f>
      </x:c>
      <x:c r="G6" s="96" t="str">
        <x:f>IFERROR('Historical Data'!G10/'Historical Data'!G5,"")</x:f>
      </x:c>
      <x:c r="H6" s="31" t="str">
        <x:v>%</x:v>
      </x:c>
      <x:c r="I6" s="31" t="str">
        <x:v>Bottom-line economics</x:v>
      </x:c>
    </x:row>
    <x:row r="7">
      <x:c r="A7" s="31" t="str">
        <x:v>Owner earnings margin</x:v>
      </x:c>
      <x:c r="B7" s="96" t="str">
        <x:f>'Owner Earnings'!B13</x:f>
      </x:c>
      <x:c r="C7" s="96" t="str">
        <x:f>'Owner Earnings'!C13</x:f>
      </x:c>
      <x:c r="D7" s="96" t="str">
        <x:f>'Owner Earnings'!D13</x:f>
      </x:c>
      <x:c r="E7" s="96" t="str">
        <x:f>'Owner Earnings'!E13</x:f>
      </x:c>
      <x:c r="F7" s="96" t="str">
        <x:f>'Owner Earnings'!F13</x:f>
      </x:c>
      <x:c r="G7" s="96" t="str">
        <x:f>'Owner Earnings'!G13</x:f>
      </x:c>
      <x:c r="H7" s="31" t="str">
        <x:v>%</x:v>
      </x:c>
      <x:c r="I7" s="31" t="str">
        <x:v>Cash earning efficiency</x:v>
      </x:c>
    </x:row>
    <x:row r="8">
      <x:c r="A8" s="31" t="str">
        <x:v>NOPAT</x:v>
      </x:c>
      <x:c r="B8" s="92" t="str">
        <x:f>IF('Historical Data'!B6="","",'Historical Data'!B6*(1-Assumptions!$B$17))</x:f>
      </x:c>
      <x:c r="C8" s="92" t="str">
        <x:f>IF('Historical Data'!C6="","",'Historical Data'!C6*(1-Assumptions!$B$17))</x:f>
      </x:c>
      <x:c r="D8" s="92" t="str">
        <x:f>IF('Historical Data'!D6="","",'Historical Data'!D6*(1-Assumptions!$B$17))</x:f>
      </x:c>
      <x:c r="E8" s="92" t="str">
        <x:f>IF('Historical Data'!E6="","",'Historical Data'!E6*(1-Assumptions!$B$17))</x:f>
      </x:c>
      <x:c r="F8" s="92" t="str">
        <x:f>IF('Historical Data'!F6="","",'Historical Data'!F6*(1-Assumptions!$B$17))</x:f>
      </x:c>
      <x:c r="G8" s="92" t="str">
        <x:f>IF('Historical Data'!G6="","",'Historical Data'!G6*(1-Assumptions!$B$17))</x:f>
      </x:c>
      <x:c r="H8" s="31" t="str">
        <x:v>$mm</x:v>
      </x:c>
      <x:c r="I8" s="31" t="str">
        <x:v>EBIT after normalized tax</x:v>
      </x:c>
    </x:row>
    <x:row r="9">
      <x:c r="A9" s="31" t="str">
        <x:v>ROIC</x:v>
      </x:c>
      <x:c r="B9" s="96" t="str">
        <x:f>IFERROR(B8/'Historical Data'!B27,"")</x:f>
      </x:c>
      <x:c r="C9" s="96" t="str">
        <x:f>IFERROR(C8/AVERAGE('Historical Data'!B27,'Historical Data'!C27),"")</x:f>
      </x:c>
      <x:c r="D9" s="96" t="str">
        <x:f>IFERROR(D8/AVERAGE('Historical Data'!C27,'Historical Data'!D27),"")</x:f>
      </x:c>
      <x:c r="E9" s="96" t="str">
        <x:f>IFERROR(E8/AVERAGE('Historical Data'!D27,'Historical Data'!E27),"")</x:f>
      </x:c>
      <x:c r="F9" s="96" t="str">
        <x:f>IFERROR(F8/AVERAGE('Historical Data'!E27,'Historical Data'!F27),"")</x:f>
      </x:c>
      <x:c r="G9" s="96" t="str">
        <x:f>IFERROR(G8/AVERAGE('Historical Data'!F27,'Historical Data'!G27),"")</x:f>
      </x:c>
      <x:c r="H9" s="31" t="str">
        <x:v>%</x:v>
      </x:c>
      <x:c r="I9" s="31" t="str">
        <x:v>Primary capital-efficiency measure</x:v>
      </x:c>
    </x:row>
    <x:row r="10">
      <x:c r="A10" s="31" t="str">
        <x:v>ROA</x:v>
      </x:c>
      <x:c r="B10" s="96" t="str">
        <x:f>IFERROR('Historical Data'!B10/'Historical Data'!B25,"")</x:f>
      </x:c>
      <x:c r="C10" s="96" t="str">
        <x:f>IFERROR('Historical Data'!C10/AVERAGE('Historical Data'!B25,'Historical Data'!C25),"")</x:f>
      </x:c>
      <x:c r="D10" s="96" t="str">
        <x:f>IFERROR('Historical Data'!D10/AVERAGE('Historical Data'!C25,'Historical Data'!D25),"")</x:f>
      </x:c>
      <x:c r="E10" s="96" t="str">
        <x:f>IFERROR('Historical Data'!E10/AVERAGE('Historical Data'!D25,'Historical Data'!E25),"")</x:f>
      </x:c>
      <x:c r="F10" s="96" t="str">
        <x:f>IFERROR('Historical Data'!F10/AVERAGE('Historical Data'!E25,'Historical Data'!F25),"")</x:f>
      </x:c>
      <x:c r="G10" s="96" t="str">
        <x:f>IFERROR('Historical Data'!G10/AVERAGE('Historical Data'!F25,'Historical Data'!G25),"")</x:f>
      </x:c>
      <x:c r="H10" s="31" t="str">
        <x:v>%</x:v>
      </x:c>
      <x:c r="I10" s="31" t="str">
        <x:v>Asset efficiency</x:v>
      </x:c>
    </x:row>
    <x:row r="11">
      <x:c r="A11" s="31" t="str">
        <x:v>ROE</x:v>
      </x:c>
      <x:c r="B11" s="96" t="str">
        <x:f>IFERROR('Historical Data'!B10/'Historical Data'!B26,"")</x:f>
      </x:c>
      <x:c r="C11" s="96" t="str">
        <x:f>IFERROR('Historical Data'!C10/AVERAGE('Historical Data'!B26,'Historical Data'!C26),"")</x:f>
      </x:c>
      <x:c r="D11" s="96" t="str">
        <x:f>IFERROR('Historical Data'!D10/AVERAGE('Historical Data'!C26,'Historical Data'!D26),"")</x:f>
      </x:c>
      <x:c r="E11" s="96" t="str">
        <x:f>IFERROR('Historical Data'!E10/AVERAGE('Historical Data'!D26,'Historical Data'!E26),"")</x:f>
      </x:c>
      <x:c r="F11" s="96" t="str">
        <x:f>IFERROR('Historical Data'!F10/AVERAGE('Historical Data'!E26,'Historical Data'!F26),"")</x:f>
      </x:c>
      <x:c r="G11" s="96" t="str">
        <x:f>IFERROR('Historical Data'!G10/AVERAGE('Historical Data'!F26,'Historical Data'!G26),"")</x:f>
      </x:c>
      <x:c r="H11" s="31" t="str">
        <x:v>%</x:v>
      </x:c>
      <x:c r="I11" s="31" t="str">
        <x:v>Equity efficiency; watch leverage effects</x:v>
      </x:c>
    </x:row>
    <x:row r="12">
      <x:c r="A12" s="31" t="str">
        <x:v>FCF conversion</x:v>
      </x:c>
      <x:c r="B12" s="97" t="str">
        <x:f>IFERROR('Historical Data'!B21/'Historical Data'!B10,"")</x:f>
      </x:c>
      <x:c r="C12" s="97" t="str">
        <x:f>IFERROR('Historical Data'!C21/'Historical Data'!C10,"")</x:f>
      </x:c>
      <x:c r="D12" s="97" t="str">
        <x:f>IFERROR('Historical Data'!D21/'Historical Data'!D10,"")</x:f>
      </x:c>
      <x:c r="E12" s="97" t="str">
        <x:f>IFERROR('Historical Data'!E21/'Historical Data'!E10,"")</x:f>
      </x:c>
      <x:c r="F12" s="97" t="str">
        <x:f>IFERROR('Historical Data'!F21/'Historical Data'!F10,"")</x:f>
      </x:c>
      <x:c r="G12" s="97" t="str">
        <x:f>IFERROR('Historical Data'!G21/'Historical Data'!G10,"")</x:f>
      </x:c>
      <x:c r="H12" s="31" t="str">
        <x:v>x</x:v>
      </x:c>
      <x:c r="I12" s="31" t="str">
        <x:v>Operating cash flow / net income</x:v>
      </x:c>
    </x:row>
    <x:row r="13">
      <x:c r="A13" s="31" t="str">
        <x:v>Debt / owner earnings</x:v>
      </x:c>
      <x:c r="B13" s="97" t="str">
        <x:f>IFERROR('Historical Data'!B24/'Owner Earnings'!B10,"")</x:f>
      </x:c>
      <x:c r="C13" s="97" t="str">
        <x:f>IFERROR('Historical Data'!C24/'Owner Earnings'!C10,"")</x:f>
      </x:c>
      <x:c r="D13" s="97" t="str">
        <x:f>IFERROR('Historical Data'!D24/'Owner Earnings'!D10,"")</x:f>
      </x:c>
      <x:c r="E13" s="97" t="str">
        <x:f>IFERROR('Historical Data'!E24/'Owner Earnings'!E10,"")</x:f>
      </x:c>
      <x:c r="F13" s="97" t="str">
        <x:f>IFERROR('Historical Data'!F24/'Owner Earnings'!F10,"")</x:f>
      </x:c>
      <x:c r="G13" s="97" t="str">
        <x:f>IFERROR('Historical Data'!G24/'Owner Earnings'!G10,"")</x:f>
      </x:c>
      <x:c r="H13" s="31" t="str">
        <x:v>x</x:v>
      </x:c>
      <x:c r="I13" s="31" t="str">
        <x:v>Lower is generally safer</x:v>
      </x:c>
    </x:row>
    <x:row r="14">
      <x:c r="A14" s="31" t="str">
        <x:v>Interest coverage</x:v>
      </x:c>
      <x:c r="B14" s="97" t="str">
        <x:f>IFERROR('Historical Data'!B6/'Historical Data'!B7,"")</x:f>
      </x:c>
      <x:c r="C14" s="97" t="str">
        <x:f>IFERROR('Historical Data'!C6/'Historical Data'!C7,"")</x:f>
      </x:c>
      <x:c r="D14" s="97" t="str">
        <x:f>IFERROR('Historical Data'!D6/'Historical Data'!D7,"")</x:f>
      </x:c>
      <x:c r="E14" s="97" t="str">
        <x:f>IFERROR('Historical Data'!E6/'Historical Data'!E7,"")</x:f>
      </x:c>
      <x:c r="F14" s="97" t="str">
        <x:f>IFERROR('Historical Data'!F6/'Historical Data'!F7,"")</x:f>
      </x:c>
      <x:c r="G14" s="97" t="str">
        <x:f>IFERROR('Historical Data'!G6/'Historical Data'!G7,"")</x:f>
      </x:c>
      <x:c r="H14" s="31" t="str">
        <x:v>x</x:v>
      </x:c>
      <x:c r="I14" s="31" t="str">
        <x:v>EBIT / interest expense</x:v>
      </x:c>
    </x:row>
    <x:row r="15">
      <x:c r="A15" s="31" t="str">
        <x:v>Goodwill &amp; intangibles / assets</x:v>
      </x:c>
      <x:c r="B15" s="96" t="str">
        <x:f>IFERROR('Historical Data'!B28/'Historical Data'!B25,"")</x:f>
      </x:c>
      <x:c r="C15" s="96" t="str">
        <x:f>IFERROR('Historical Data'!C28/'Historical Data'!C25,"")</x:f>
      </x:c>
      <x:c r="D15" s="96" t="str">
        <x:f>IFERROR('Historical Data'!D28/'Historical Data'!D25,"")</x:f>
      </x:c>
      <x:c r="E15" s="96" t="str">
        <x:f>IFERROR('Historical Data'!E28/'Historical Data'!E25,"")</x:f>
      </x:c>
      <x:c r="F15" s="96" t="str">
        <x:f>IFERROR('Historical Data'!F28/'Historical Data'!F25,"")</x:f>
      </x:c>
      <x:c r="G15" s="96" t="str">
        <x:f>IFERROR('Historical Data'!G28/'Historical Data'!G25,"")</x:f>
      </x:c>
      <x:c r="H15" s="31" t="str">
        <x:v>%</x:v>
      </x:c>
      <x:c r="I15" s="31" t="str">
        <x:v>Acquisition intensity and write-down risk</x:v>
      </x:c>
    </x:row>
    <x:row r="16">
      <x:c r="A16" s="31" t="str">
        <x:v>Diluted share-count growth</x:v>
      </x:c>
      <x:c r="B16" s="96" t="str"/>
      <x:c r="C16" s="96" t="str">
        <x:f>IFERROR('Historical Data'!C12/'Historical Data'!B12-1,"")</x:f>
      </x:c>
      <x:c r="D16" s="96" t="str">
        <x:f>IFERROR('Historical Data'!D12/'Historical Data'!C12-1,"")</x:f>
      </x:c>
      <x:c r="E16" s="96" t="str">
        <x:f>IFERROR('Historical Data'!E12/'Historical Data'!D12-1,"")</x:f>
      </x:c>
      <x:c r="F16" s="96" t="str">
        <x:f>IFERROR('Historical Data'!F12/'Historical Data'!E12-1,"")</x:f>
      </x:c>
      <x:c r="G16" s="96" t="str">
        <x:f>IFERROR('Historical Data'!G12/'Historical Data'!F12-1,"")</x:f>
      </x:c>
      <x:c r="H16" s="31" t="str">
        <x:v>%</x:v>
      </x:c>
      <x:c r="I16" s="31" t="str">
        <x:v>Negative means buybacks exceed dilution</x:v>
      </x:c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</x:row>
    <x:row r="18" ht="20" customHeight="1">
      <x:c r="A18" s="32" t="str">
        <x:v>Five-Year Compounding &amp; Quality Score</x:v>
      </x:c>
      <x:c r="B18" s="31"/>
      <x:c r="C18" s="31"/>
      <x:c r="D18" s="31"/>
      <x:c r="E18" s="31"/>
      <x:c r="F18" s="31"/>
      <x:c r="G18" s="31"/>
      <x:c r="H18" s="31"/>
      <x:c r="I18" s="31"/>
    </x:row>
    <x:row r="19">
      <x:c r="A19" s="15" t="str">
        <x:v>Metric</x:v>
      </x:c>
      <x:c r="B19" s="15" t="str">
        <x:v>Result</x:v>
      </x:c>
      <x:c r="C19" s="15" t="str">
        <x:v>Threshold</x:v>
      </x:c>
      <x:c r="D19" s="15" t="str">
        <x:v>Pass?</x:v>
      </x:c>
      <x:c r="E19" s="31"/>
      <x:c r="F19" s="31"/>
      <x:c r="G19" s="31"/>
      <x:c r="H19" s="31"/>
      <x:c r="I19" s="31"/>
    </x:row>
    <x:row r="20">
      <x:c r="A20" s="31" t="str">
        <x:v>Revenue CAGR</x:v>
      </x:c>
      <x:c r="B20" s="99" t="str">
        <x:f>IFERROR(('Historical Data'!F5/'Historical Data'!B5)^(1/4)-1,"")</x:f>
      </x:c>
      <x:c r="C20" s="55" t="n">
        <x:v>0.05</x:v>
      </x:c>
      <x:c r="D20" s="114" t="str">
        <x:f>IF(B20="","",IF(B20&gt;=C20,1,0))</x:f>
      </x:c>
      <x:c r="E20" s="31"/>
      <x:c r="F20" s="31"/>
      <x:c r="G20" s="31"/>
      <x:c r="H20" s="31"/>
      <x:c r="I20" s="31"/>
    </x:row>
    <x:row r="21">
      <x:c r="A21" s="31" t="str">
        <x:v>Owner earnings CAGR</x:v>
      </x:c>
      <x:c r="B21" s="99" t="str">
        <x:f>IFERROR(('Owner Earnings'!F10/'Owner Earnings'!B10)^(1/4)-1,"")</x:f>
      </x:c>
      <x:c r="C21" s="55" t="n">
        <x:v>0.05</x:v>
      </x:c>
      <x:c r="D21" s="114" t="str">
        <x:f>IF(B21="","",IF(B21&gt;=C21,1,0))</x:f>
      </x:c>
      <x:c r="E21" s="31"/>
      <x:c r="F21" s="31"/>
      <x:c r="G21" s="31"/>
      <x:c r="H21" s="31"/>
      <x:c r="I21" s="31"/>
    </x:row>
    <x:row r="22">
      <x:c r="A22" s="31" t="str">
        <x:v>Average ROIC</x:v>
      </x:c>
      <x:c r="B22" s="99" t="str">
        <x:f>IFERROR(AVERAGE(B9:F9),"")</x:f>
      </x:c>
      <x:c r="C22" s="55" t="n">
        <x:v>0.15</x:v>
      </x:c>
      <x:c r="D22" s="114" t="str">
        <x:f>IF(B22="","",IF(B22&gt;=C22,1,0))</x:f>
      </x:c>
      <x:c r="E22" s="31"/>
      <x:c r="F22" s="31"/>
      <x:c r="G22" s="31"/>
      <x:c r="H22" s="31"/>
      <x:c r="I22" s="31"/>
    </x:row>
    <x:row r="23">
      <x:c r="A23" s="31" t="str">
        <x:v>Average owner earnings margin</x:v>
      </x:c>
      <x:c r="B23" s="99" t="str">
        <x:f>IFERROR(AVERAGE(B7:F7),"")</x:f>
      </x:c>
      <x:c r="C23" s="55" t="n">
        <x:v>0.1</x:v>
      </x:c>
      <x:c r="D23" s="114" t="str">
        <x:f>IF(B23="","",IF(B23&gt;=C23,1,0))</x:f>
      </x:c>
      <x:c r="E23" s="31"/>
      <x:c r="F23" s="31"/>
      <x:c r="G23" s="31"/>
      <x:c r="H23" s="31"/>
      <x:c r="I23" s="31"/>
    </x:row>
    <x:row r="24">
      <x:c r="A24" s="31" t="str">
        <x:v>Average interest coverage</x:v>
      </x:c>
      <x:c r="B24" s="100" t="str">
        <x:f>IFERROR(AVERAGE(B14:F14),"")</x:f>
      </x:c>
      <x:c r="C24" s="115" t="n">
        <x:v>8</x:v>
      </x:c>
      <x:c r="D24" s="114" t="str">
        <x:f>IF(B24="","",IF(B24&gt;=C24,1,0))</x:f>
      </x:c>
      <x:c r="E24" s="31"/>
      <x:c r="F24" s="31"/>
      <x:c r="G24" s="31"/>
      <x:c r="H24" s="31"/>
      <x:c r="I24" s="31"/>
    </x:row>
    <x:row r="25">
      <x:c r="A25" s="31" t="str">
        <x:v>Debt / owner earnings (LTM)</x:v>
      </x:c>
      <x:c r="B25" s="100" t="str">
        <x:f>G13</x:f>
      </x:c>
      <x:c r="C25" s="115" t="n">
        <x:v>3</x:v>
      </x:c>
      <x:c r="D25" s="114" t="str">
        <x:f>IF(B25="","",IF(B25&lt;=C25,1,0))</x:f>
      </x:c>
      <x:c r="E25" s="31"/>
      <x:c r="F25" s="31"/>
      <x:c r="G25" s="31"/>
      <x:c r="H25" s="31"/>
      <x:c r="I25" s="31"/>
    </x:row>
    <x:row r="26">
      <x:c r="A26" s="31" t="str">
        <x:v>Share count CAGR</x:v>
      </x:c>
      <x:c r="B26" s="99" t="str">
        <x:f>IFERROR(('Historical Data'!F12/'Historical Data'!B12)^(1/4)-1,"")</x:f>
      </x:c>
      <x:c r="C26" s="55" t="n">
        <x:v>0</x:v>
      </x:c>
      <x:c r="D26" s="114" t="str">
        <x:f>IF(B26="","",IF(B26&lt;=C26,1,0))</x:f>
      </x:c>
      <x:c r="E26" s="31"/>
      <x:c r="F26" s="31"/>
      <x:c r="G26" s="31"/>
      <x:c r="H26" s="31"/>
      <x:c r="I26" s="31"/>
    </x:row>
    <x:row r="27">
      <x:c r="A27" s="31" t="str">
        <x:v>Positive owner earnings in all five years</x:v>
      </x:c>
      <x:c r="B27" s="99" t="n">
        <x:f>IF(COUNTIF('Owner Earnings'!B10:F10,"&gt;0")=5,1,0)</x:f>
        <x:v>0</x:v>
      </x:c>
      <x:c r="C27" s="55" t="n">
        <x:v>1</x:v>
      </x:c>
      <x:c r="D27" s="114" t="str">
        <x:f>IF(B27="","",IF(B27&gt;=C27,1,0))</x:f>
      </x:c>
      <x:c r="E27" s="31"/>
      <x:c r="F27" s="31"/>
      <x:c r="G27" s="31"/>
      <x:c r="H27" s="31"/>
      <x:c r="I27" s="31"/>
    </x:row>
    <x:row r="28">
      <x:c r="A28" s="31" t="str">
        <x:v>Stable or improving EBIT margin</x:v>
      </x:c>
      <x:c r="B28" s="99" t="n">
        <x:f>F5-B5</x:f>
        <x:v>0</x:v>
      </x:c>
      <x:c r="C28" s="55" t="n">
        <x:v>-0.02</x:v>
      </x:c>
      <x:c r="D28" s="114" t="str">
        <x:f>IF(B28="","",IF(B28&gt;=C28,1,0))</x:f>
      </x:c>
      <x:c r="E28" s="31"/>
      <x:c r="F28" s="31"/>
      <x:c r="G28" s="31"/>
      <x:c r="H28" s="31"/>
      <x:c r="I28" s="31"/>
    </x:row>
    <x:row r="29">
      <x:c r="A29" s="31" t="str">
        <x:v>Quality score</x:v>
      </x:c>
      <x:c r="B29" s="99" t="str">
        <x:f>IF(COUNT(D20:D28)=0,"",SUM(D20:D28)/COUNT(D20:D28))</x:f>
      </x:c>
      <x:c r="C29" s="31" t="str"/>
      <x:c r="D29" s="31" t="str"/>
      <x:c r="E29" s="31"/>
      <x:c r="F29" s="31"/>
      <x:c r="G29" s="31"/>
      <x:c r="H29" s="31"/>
      <x:c r="I29" s="31"/>
    </x:row>
    <x:row r="30">
      <x:c r="A30" s="31" t="str">
        <x:v>Interpretation</x:v>
      </x:c>
      <x:c r="B30" s="116" t="str">
        <x:f>IF(B29="","",IF(B29&gt;=80%,"High quality",IF(B29&gt;=60%,"Good / investigate",IF(B29&gt;=40%,"Mixed","Weak / high uncertainty"))))</x:f>
      </x:c>
      <x:c r="C30" s="31" t="str"/>
      <x:c r="D30" s="31" t="str"/>
      <x:c r="E30" s="31"/>
      <x:c r="F30" s="31"/>
      <x:c r="G30" s="31"/>
      <x:c r="H30" s="31"/>
      <x:c r="I30" s="31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</x:row>
  </x:sheetData>
  <x:mergeCells>
    <x:mergeCell ref="A1:I1"/>
    <x:mergeCell ref="A18:I18"/>
  </x:mergeCells>
  <x:conditionalFormatting sqref="B29:B29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</x:cols>
  <x:sheetData>
    <x:row r="1" ht="28" customHeight="1">
      <x:c r="A1" s="30" t="str">
        <x:v>Owner Earnings Discounted Cash Flow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  <x:c r="O1" s="31"/>
      <x:c r="P1" s="31"/>
      <x:c r="Q1" s="31"/>
      <x:c r="R1" s="31"/>
      <x:c r="S1" s="31"/>
    </x:row>
    <x:row r="2">
      <x:c r="A2" s="31"/>
      <x:c r="B2" s="31"/>
      <x:c r="C2" s="31"/>
      <x:c r="D2" s="31"/>
      <x:c r="E2" s="31"/>
      <x:c r="F2" s="31"/>
      <x:c r="G2" s="31"/>
      <x:c r="H2" s="31"/>
      <x:c r="I2" s="31"/>
      <x:c r="J2" s="31"/>
      <x:c r="K2" s="31"/>
      <x:c r="L2" s="31"/>
      <x:c r="M2" s="31"/>
      <x:c r="N2" s="31"/>
      <x:c r="O2" s="31"/>
      <x:c r="P2" s="31"/>
      <x:c r="Q2" s="31"/>
      <x:c r="R2" s="31"/>
      <x:c r="S2" s="31"/>
    </x:row>
    <x:row r="3" ht="20" customHeight="1">
      <x:c r="A3" s="32" t="str">
        <x:v>Base Case — 10-Year Forecast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</x:row>
    <x:row r="4">
      <x:c r="A4" s="15" t="str">
        <x:v>Metric</x:v>
      </x:c>
      <x:c r="B4" s="15" t="str">
        <x:v>Year 1</x:v>
      </x:c>
      <x:c r="C4" s="15" t="str">
        <x:v>Year 2</x:v>
      </x:c>
      <x:c r="D4" s="15" t="str">
        <x:v>Year 3</x:v>
      </x:c>
      <x:c r="E4" s="15" t="str">
        <x:v>Year 4</x:v>
      </x:c>
      <x:c r="F4" s="15" t="str">
        <x:v>Year 5</x:v>
      </x:c>
      <x:c r="G4" s="15" t="str">
        <x:v>Year 6</x:v>
      </x:c>
      <x:c r="H4" s="15" t="str">
        <x:v>Year 7</x:v>
      </x:c>
      <x:c r="I4" s="15" t="str">
        <x:v>Year 8</x:v>
      </x:c>
      <x:c r="J4" s="15" t="str">
        <x:v>Year 9</x:v>
      </x:c>
      <x:c r="K4" s="15" t="str">
        <x:v>Year 10</x:v>
      </x:c>
      <x:c r="L4" s="15" t="str">
        <x:v>Terminal</x:v>
      </x:c>
      <x:c r="M4" s="15" t="str">
        <x:v>Total</x:v>
      </x:c>
      <x:c r="N4" s="31"/>
      <x:c r="O4" s="31"/>
      <x:c r="P4" s="31"/>
      <x:c r="Q4" s="31"/>
      <x:c r="R4" s="31"/>
      <x:c r="S4" s="31"/>
    </x:row>
    <x:row r="5">
      <x:c r="A5" s="31" t="str">
        <x:v>Growth rate</x:v>
      </x:c>
      <x:c r="B5" s="99" t="n">
        <x:f>Assumptions!B25</x:f>
        <x:v>0.08</x:v>
      </x:c>
      <x:c r="C5" s="99" t="n">
        <x:f>Assumptions!$B$25-(2-1)*(Assumptions!$B$25-Assumptions!$B$26)/9</x:f>
        <x:v>0.07555555555555556</x:v>
      </x:c>
      <x:c r="D5" s="99" t="n">
        <x:f>Assumptions!$B$25-(3-1)*(Assumptions!$B$25-Assumptions!$B$26)/9</x:f>
        <x:v>0.07111111111111111</x:v>
      </x:c>
      <x:c r="E5" s="99" t="n">
        <x:f>Assumptions!$B$25-(4-1)*(Assumptions!$B$25-Assumptions!$B$26)/9</x:f>
        <x:v>0.06666666666666667</x:v>
      </x:c>
      <x:c r="F5" s="99" t="n">
        <x:f>Assumptions!$B$25-(5-1)*(Assumptions!$B$25-Assumptions!$B$26)/9</x:f>
        <x:v>0.06222222222222222</x:v>
      </x:c>
      <x:c r="G5" s="99" t="n">
        <x:f>Assumptions!$B$25-(6-1)*(Assumptions!$B$25-Assumptions!$B$26)/9</x:f>
        <x:v>0.057777777777777775</x:v>
      </x:c>
      <x:c r="H5" s="99" t="n">
        <x:f>Assumptions!$B$25-(7-1)*(Assumptions!$B$25-Assumptions!$B$26)/9</x:f>
        <x:v>0.05333333333333334</x:v>
      </x:c>
      <x:c r="I5" s="99" t="n">
        <x:f>Assumptions!$B$25-(8-1)*(Assumptions!$B$25-Assumptions!$B$26)/9</x:f>
        <x:v>0.048888888888888885</x:v>
      </x:c>
      <x:c r="J5" s="99" t="n">
        <x:f>Assumptions!$B$25-(9-1)*(Assumptions!$B$25-Assumptions!$B$26)/9</x:f>
        <x:v>0.044444444444444446</x:v>
      </x:c>
      <x:c r="K5" s="99" t="n">
        <x:f>Assumptions!$B$25-(10-1)*(Assumptions!$B$25-Assumptions!$B$26)/9</x:f>
        <x:v>0.04</x:v>
      </x:c>
      <x:c r="L5" s="116"/>
      <x:c r="M5" s="116"/>
      <x:c r="N5" s="31"/>
      <x:c r="O5" s="31"/>
      <x:c r="P5" s="31"/>
      <x:c r="Q5" s="31"/>
      <x:c r="R5" s="31"/>
      <x:c r="S5" s="31"/>
    </x:row>
    <x:row r="6">
      <x:c r="A6" s="31" t="str">
        <x:v>Owner earnings ($mm)</x:v>
      </x:c>
      <x:c r="B6" s="53" t="n">
        <x:f>'Owner Earnings'!B18*(1+B5)</x:f>
        <x:v>0</x:v>
      </x:c>
      <x:c r="C6" s="53" t="n">
        <x:f>B6*(1+C5)</x:f>
        <x:v>0</x:v>
      </x:c>
      <x:c r="D6" s="53" t="n">
        <x:f>C6*(1+D5)</x:f>
        <x:v>0</x:v>
      </x:c>
      <x:c r="E6" s="53" t="n">
        <x:f>D6*(1+E5)</x:f>
        <x:v>0</x:v>
      </x:c>
      <x:c r="F6" s="53" t="n">
        <x:f>E6*(1+F5)</x:f>
        <x:v>0</x:v>
      </x:c>
      <x:c r="G6" s="53" t="n">
        <x:f>F6*(1+G5)</x:f>
        <x:v>0</x:v>
      </x:c>
      <x:c r="H6" s="53" t="n">
        <x:f>G6*(1+H5)</x:f>
        <x:v>0</x:v>
      </x:c>
      <x:c r="I6" s="53" t="n">
        <x:f>H6*(1+I5)</x:f>
        <x:v>0</x:v>
      </x:c>
      <x:c r="J6" s="53" t="n">
        <x:f>I6*(1+J5)</x:f>
        <x:v>0</x:v>
      </x:c>
      <x:c r="K6" s="53" t="n">
        <x:f>J6*(1+K5)</x:f>
        <x:v>0</x:v>
      </x:c>
      <x:c r="L6" s="116"/>
      <x:c r="M6" s="116"/>
      <x:c r="N6" s="31"/>
      <x:c r="O6" s="31"/>
      <x:c r="P6" s="31"/>
      <x:c r="Q6" s="31"/>
      <x:c r="R6" s="31"/>
      <x:c r="S6" s="31"/>
    </x:row>
    <x:row r="7">
      <x:c r="A7" s="31" t="str">
        <x:v>Discount factor</x:v>
      </x:c>
      <x:c r="B7" s="128" t="n">
        <x:f>1/(1+Assumptions!$B$28)^1</x:f>
        <x:v>0.9174311926605504</x:v>
      </x:c>
      <x:c r="C7" s="128" t="n">
        <x:f>1/(1+Assumptions!$B$28)^2</x:f>
        <x:v>0.84167999326656</x:v>
      </x:c>
      <x:c r="D7" s="128" t="n">
        <x:f>1/(1+Assumptions!$B$28)^3</x:f>
        <x:v>0.7721834800610642</x:v>
      </x:c>
      <x:c r="E7" s="128" t="n">
        <x:f>1/(1+Assumptions!$B$28)^4</x:f>
        <x:v>0.7084252110651964</x:v>
      </x:c>
      <x:c r="F7" s="128" t="n">
        <x:f>1/(1+Assumptions!$B$28)^5</x:f>
        <x:v>0.6499313862983452</x:v>
      </x:c>
      <x:c r="G7" s="128" t="n">
        <x:f>1/(1+Assumptions!$B$28)^6</x:f>
        <x:v>0.5962673268792158</x:v>
      </x:c>
      <x:c r="H7" s="128" t="n">
        <x:f>1/(1+Assumptions!$B$28)^7</x:f>
        <x:v>0.5470342448433173</x:v>
      </x:c>
      <x:c r="I7" s="128" t="n">
        <x:f>1/(1+Assumptions!$B$28)^8</x:f>
        <x:v>0.5018662796727681</x:v>
      </x:c>
      <x:c r="J7" s="128" t="n">
        <x:f>1/(1+Assumptions!$B$28)^9</x:f>
        <x:v>0.460427779516301</x:v>
      </x:c>
      <x:c r="K7" s="128" t="n">
        <x:f>1/(1+Assumptions!$B$28)^10</x:f>
        <x:v>0.42241080689568894</x:v>
      </x:c>
      <x:c r="L7" s="116"/>
      <x:c r="M7" s="116"/>
      <x:c r="N7" s="31"/>
      <x:c r="O7" s="31"/>
      <x:c r="P7" s="31"/>
      <x:c r="Q7" s="31"/>
      <x:c r="R7" s="31"/>
      <x:c r="S7" s="31"/>
    </x:row>
    <x:row r="8">
      <x:c r="A8" s="31" t="str">
        <x:v>PV of owner earnings ($mm)</x:v>
      </x:c>
      <x:c r="B8" s="53" t="n">
        <x:f>B6*B7</x:f>
        <x:v>0</x:v>
      </x:c>
      <x:c r="C8" s="53" t="n">
        <x:f>C6*C7</x:f>
        <x:v>0</x:v>
      </x:c>
      <x:c r="D8" s="53" t="n">
        <x:f>D6*D7</x:f>
        <x:v>0</x:v>
      </x:c>
      <x:c r="E8" s="53" t="n">
        <x:f>E6*E7</x:f>
        <x:v>0</x:v>
      </x:c>
      <x:c r="F8" s="53" t="n">
        <x:f>F6*F7</x:f>
        <x:v>0</x:v>
      </x:c>
      <x:c r="G8" s="53" t="n">
        <x:f>G6*G7</x:f>
        <x:v>0</x:v>
      </x:c>
      <x:c r="H8" s="53" t="n">
        <x:f>H6*H7</x:f>
        <x:v>0</x:v>
      </x:c>
      <x:c r="I8" s="53" t="n">
        <x:f>I6*I7</x:f>
        <x:v>0</x:v>
      </x:c>
      <x:c r="J8" s="53" t="n">
        <x:f>J6*J7</x:f>
        <x:v>0</x:v>
      </x:c>
      <x:c r="K8" s="53" t="n">
        <x:f>K6*K7</x:f>
        <x:v>0</x:v>
      </x:c>
      <x:c r="L8" s="53"/>
      <x:c r="M8" s="53" t="n">
        <x:f>SUM(B8:K8)</x:f>
        <x:v>0</x:v>
      </x:c>
      <x:c r="N8" s="31"/>
      <x:c r="O8" s="31"/>
      <x:c r="P8" s="31"/>
      <x:c r="Q8" s="31"/>
      <x:c r="R8" s="31"/>
      <x:c r="S8" s="31"/>
    </x:row>
    <x:row r="9">
      <x:c r="A9" s="31" t="str">
        <x:v>Terminal growth</x:v>
      </x:c>
      <x:c r="B9" s="53"/>
      <x:c r="C9" s="53"/>
      <x:c r="D9" s="53"/>
      <x:c r="E9" s="53"/>
      <x:c r="F9" s="53"/>
      <x:c r="G9" s="53"/>
      <x:c r="H9" s="53"/>
      <x:c r="I9" s="53"/>
      <x:c r="J9" s="53"/>
      <x:c r="K9" s="53"/>
      <x:c r="L9" s="99" t="n">
        <x:f>Assumptions!B27</x:f>
        <x:v>0.025</x:v>
      </x:c>
      <x:c r="M9" s="53"/>
      <x:c r="N9" s="31"/>
      <x:c r="O9" s="31"/>
      <x:c r="P9" s="31"/>
      <x:c r="Q9" s="31"/>
      <x:c r="R9" s="31"/>
      <x:c r="S9" s="31"/>
    </x:row>
    <x:row r="10">
      <x:c r="A10" s="31" t="str">
        <x:v>Terminal value ($mm)</x:v>
      </x:c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 t="n">
        <x:f>IFERROR(K6*(1+L9)/(Assumptions!B28-L9),"")</x:f>
        <x:v>0</x:v>
      </x:c>
      <x:c r="M10" s="53"/>
      <x:c r="N10" s="31"/>
      <x:c r="O10" s="31"/>
      <x:c r="P10" s="31"/>
      <x:c r="Q10" s="31"/>
      <x:c r="R10" s="31"/>
      <x:c r="S10" s="31"/>
    </x:row>
    <x:row r="11">
      <x:c r="A11" s="31" t="str">
        <x:v>PV of terminal value ($mm)</x:v>
      </x:c>
      <x:c r="B11" s="53"/>
      <x:c r="C11" s="53"/>
      <x:c r="D11" s="53"/>
      <x:c r="E11" s="53"/>
      <x:c r="F11" s="53"/>
      <x:c r="G11" s="53"/>
      <x:c r="H11" s="53"/>
      <x:c r="I11" s="53"/>
      <x:c r="J11" s="53"/>
      <x:c r="K11" s="53"/>
      <x:c r="L11" s="53" t="n">
        <x:f>L10*K7</x:f>
        <x:v>0</x:v>
      </x:c>
      <x:c r="M11" s="53" t="n">
        <x:f>L11</x:f>
        <x:v>0</x:v>
      </x:c>
      <x:c r="N11" s="31"/>
      <x:c r="O11" s="31"/>
      <x:c r="P11" s="31"/>
      <x:c r="Q11" s="31"/>
      <x:c r="R11" s="31"/>
      <x:c r="S11" s="31"/>
    </x:row>
    <x:row r="12">
      <x:c r="A12" s="93" t="str">
        <x:v>Intrinsic equity value ($mm)</x:v>
      </x:c>
      <x:c r="B12" s="129"/>
      <x:c r="C12" s="129"/>
      <x:c r="D12" s="129"/>
      <x:c r="E12" s="129"/>
      <x:c r="F12" s="129"/>
      <x:c r="G12" s="129"/>
      <x:c r="H12" s="129"/>
      <x:c r="I12" s="129"/>
      <x:c r="J12" s="129"/>
      <x:c r="K12" s="129"/>
      <x:c r="L12" s="129"/>
      <x:c r="M12" s="129" t="n">
        <x:f>M8+M11+Assumptions!B18+Assumptions!B19</x:f>
        <x:v>0</x:v>
      </x:c>
      <x:c r="N12" s="31"/>
      <x:c r="O12" s="31"/>
      <x:c r="P12" s="31"/>
      <x:c r="Q12" s="31"/>
      <x:c r="R12" s="31"/>
      <x:c r="S12" s="31"/>
    </x:row>
    <x:row r="13">
      <x:c r="A13" s="93" t="str">
        <x:v>Intrinsic value / share</x:v>
      </x:c>
      <x:c r="B13" s="130"/>
      <x:c r="C13" s="130"/>
      <x:c r="D13" s="130"/>
      <x:c r="E13" s="130"/>
      <x:c r="F13" s="130"/>
      <x:c r="G13" s="130"/>
      <x:c r="H13" s="130"/>
      <x:c r="I13" s="130"/>
      <x:c r="J13" s="130"/>
      <x:c r="K13" s="130"/>
      <x:c r="L13" s="130"/>
      <x:c r="M13" s="131" t="str">
        <x:f>IFERROR(M12/Assumptions!B8,"")</x:f>
      </x:c>
      <x:c r="N13" s="31"/>
      <x:c r="O13" s="31"/>
      <x:c r="P13" s="31"/>
      <x:c r="Q13" s="31"/>
      <x:c r="R13" s="31"/>
      <x:c r="S13" s="31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  <x:c r="P14" s="31"/>
      <x:c r="Q14" s="31"/>
      <x:c r="R14" s="31"/>
      <x:c r="S14" s="31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 s="31"/>
      <x:c r="L15" s="31"/>
      <x:c r="M15" s="31"/>
      <x:c r="N15" s="31"/>
      <x:c r="O15" s="31"/>
      <x:c r="P15" s="31"/>
      <x:c r="Q15" s="31"/>
      <x:c r="R15" s="31"/>
      <x:c r="S15" s="31"/>
    </x:row>
    <x:row r="16" ht="20" customHeight="1">
      <x:c r="A16" s="32" t="str">
        <x:v>Scenario Valuation</x:v>
      </x:c>
      <x:c r="B16" s="31"/>
      <x:c r="C16" s="31"/>
      <x:c r="D16" s="31"/>
      <x:c r="E16" s="31"/>
      <x:c r="F16" s="31"/>
      <x:c r="G16" s="31"/>
      <x:c r="H16" s="31"/>
      <x:c r="I16" s="31"/>
      <x:c r="J16" s="31"/>
      <x:c r="K16" s="31"/>
      <x:c r="L16" s="31"/>
      <x:c r="M16" s="31"/>
      <x:c r="N16" s="31"/>
      <x:c r="O16" s="31"/>
      <x:c r="P16" s="31"/>
      <x:c r="Q16" s="31"/>
      <x:c r="R16" s="31"/>
      <x:c r="S16" s="31"/>
    </x:row>
    <x:row r="17">
      <x:c r="A17" s="15" t="str">
        <x:v>Scenario</x:v>
      </x:c>
      <x:c r="B17" s="15" t="str">
        <x:v>Intrinsic value/share</x:v>
      </x:c>
      <x:c r="C17" s="15" t="str">
        <x:v>Probability</x:v>
      </x:c>
      <x:c r="D17" s="15" t="str">
        <x:v>Weighted value/share</x:v>
      </x:c>
      <x:c r="E17" s="15" t="str">
        <x:v>Margin of safety</x:v>
      </x:c>
      <x:c r="F17" s="31"/>
      <x:c r="G17" s="15" t="str">
        <x:v>Scenario</x:v>
      </x:c>
      <x:c r="H17" s="15" t="str">
        <x:v>Start OE</x:v>
      </x:c>
      <x:c r="I17" s="15" t="str">
        <x:v>Y1</x:v>
      </x:c>
      <x:c r="J17" s="15" t="str">
        <x:v>Y2</x:v>
      </x:c>
      <x:c r="K17" s="15" t="str">
        <x:v>Y3</x:v>
      </x:c>
      <x:c r="L17" s="15" t="str">
        <x:v>Y4</x:v>
      </x:c>
      <x:c r="M17" s="15" t="str">
        <x:v>Y5</x:v>
      </x:c>
      <x:c r="N17" s="15" t="str">
        <x:v>Y6</x:v>
      </x:c>
      <x:c r="O17" s="15" t="str">
        <x:v>Y7</x:v>
      </x:c>
      <x:c r="P17" s="15" t="str">
        <x:v>Y8</x:v>
      </x:c>
      <x:c r="Q17" s="15" t="str">
        <x:v>Y9</x:v>
      </x:c>
      <x:c r="R17" s="15" t="str">
        <x:v>Y10</x:v>
      </x:c>
      <x:c r="S17" s="15" t="str">
        <x:v>Terminal Value</x:v>
      </x:c>
    </x:row>
    <x:row r="18">
      <x:c r="A18" s="31" t="str">
        <x:v>Bear</x:v>
      </x:c>
      <x:c r="B18" s="98" t="str">
        <x:f>IFERROR((I18/(1+Assumptions!$C$34)^1+J18/(1+Assumptions!$C$34)^2+K18/(1+Assumptions!$C$34)^3+L18/(1+Assumptions!$C$34)^4+M18/(1+Assumptions!$C$34)^5+N18/(1+Assumptions!$C$34)^6+O18/(1+Assumptions!$C$34)^7+P18/(1+Assumptions!$C$34)^8+Q18/(1+Assumptions!$C$34)^9+R18/(1+Assumptions!$C$34)^10+S18/(1+Assumptions!$C$34)^10+Assumptions!$B$18+Assumptions!$B$19)/Assumptions!$B$8,"")</x:f>
      </x:c>
      <x:c r="C18" s="99" t="n">
        <x:f>Assumptions!B37</x:f>
        <x:v>0.25</x:v>
      </x:c>
      <x:c r="D18" s="98" t="n">
        <x:f>B18*C18</x:f>
        <x:v>0</x:v>
      </x:c>
      <x:c r="E18" s="99" t="str">
        <x:f>IFERROR((B18-Assumptions!B7)/B18,"")</x:f>
      </x:c>
      <x:c r="F18" s="31"/>
      <x:c r="G18" s="31" t="str">
        <x:v>Bear</x:v>
      </x:c>
      <x:c r="H18" s="92" t="str">
        <x:f>'Owner Earnings'!B18</x:f>
      </x:c>
      <x:c r="I18" s="92" t="n">
        <x:f>H18*(1+(Assumptions!$B$34-(1-1)*(Assumptions!$B$34-Assumptions!$B$26)/9))</x:f>
        <x:v>0</x:v>
      </x:c>
      <x:c r="J18" s="92" t="n">
        <x:f>I18*(1+(Assumptions!$B$34-(2-1)*(Assumptions!$B$34-Assumptions!$B$26)/9))</x:f>
        <x:v>0</x:v>
      </x:c>
      <x:c r="K18" s="92" t="n">
        <x:f>J18*(1+(Assumptions!$B$34-(3-1)*(Assumptions!$B$34-Assumptions!$B$26)/9))</x:f>
        <x:v>0</x:v>
      </x:c>
      <x:c r="L18" s="92" t="n">
        <x:f>K18*(1+(Assumptions!$B$34-(4-1)*(Assumptions!$B$34-Assumptions!$B$26)/9))</x:f>
        <x:v>0</x:v>
      </x:c>
      <x:c r="M18" s="92" t="n">
        <x:f>L18*(1+(Assumptions!$B$34-(5-1)*(Assumptions!$B$34-Assumptions!$B$26)/9))</x:f>
        <x:v>0</x:v>
      </x:c>
      <x:c r="N18" s="92" t="n">
        <x:f>M18*(1+(Assumptions!$B$34-(6-1)*(Assumptions!$B$34-Assumptions!$B$26)/9))</x:f>
        <x:v>0</x:v>
      </x:c>
      <x:c r="O18" s="92" t="n">
        <x:f>N18*(1+(Assumptions!$B$34-(7-1)*(Assumptions!$B$34-Assumptions!$B$26)/9))</x:f>
        <x:v>0</x:v>
      </x:c>
      <x:c r="P18" s="92" t="n">
        <x:f>O18*(1+(Assumptions!$B$34-(8-1)*(Assumptions!$B$34-Assumptions!$B$26)/9))</x:f>
        <x:v>0</x:v>
      </x:c>
      <x:c r="Q18" s="92" t="n">
        <x:f>P18*(1+(Assumptions!$B$34-(9-1)*(Assumptions!$B$34-Assumptions!$B$26)/9))</x:f>
        <x:v>0</x:v>
      </x:c>
      <x:c r="R18" s="92" t="n">
        <x:f>Q18*(1+(Assumptions!$B$34-(10-1)*(Assumptions!$B$34-Assumptions!$B$26)/9))</x:f>
        <x:v>0</x:v>
      </x:c>
      <x:c r="S18" s="92" t="n">
        <x:f>IFERROR(R18*(1+Assumptions!$D$34)/(Assumptions!$C$34-Assumptions!$D$34),"")</x:f>
        <x:v>0</x:v>
      </x:c>
    </x:row>
    <x:row r="19">
      <x:c r="A19" s="31" t="str">
        <x:v>Base</x:v>
      </x:c>
      <x:c r="B19" s="98" t="str">
        <x:f>IFERROR((I19/(1+Assumptions!$C$35)^1+J19/(1+Assumptions!$C$35)^2+K19/(1+Assumptions!$C$35)^3+L19/(1+Assumptions!$C$35)^4+M19/(1+Assumptions!$C$35)^5+N19/(1+Assumptions!$C$35)^6+O19/(1+Assumptions!$C$35)^7+P19/(1+Assumptions!$C$35)^8+Q19/(1+Assumptions!$C$35)^9+R19/(1+Assumptions!$C$35)^10+S19/(1+Assumptions!$C$35)^10+Assumptions!$B$18+Assumptions!$B$19)/Assumptions!$B$8,"")</x:f>
      </x:c>
      <x:c r="C19" s="99" t="n">
        <x:f>Assumptions!C37</x:f>
        <x:v>0.5</x:v>
      </x:c>
      <x:c r="D19" s="98" t="n">
        <x:f>B19*C19</x:f>
        <x:v>0</x:v>
      </x:c>
      <x:c r="E19" s="99" t="str">
        <x:f>IFERROR((B19-Assumptions!B7)/B19,"")</x:f>
      </x:c>
      <x:c r="F19" s="31"/>
      <x:c r="G19" s="31" t="str">
        <x:v>Base</x:v>
      </x:c>
      <x:c r="H19" s="92" t="str">
        <x:f>'Owner Earnings'!B18</x:f>
      </x:c>
      <x:c r="I19" s="92" t="n">
        <x:f>H19*(1+(Assumptions!$B$35-(1-1)*(Assumptions!$B$35-Assumptions!$B$26)/9))</x:f>
        <x:v>0</x:v>
      </x:c>
      <x:c r="J19" s="92" t="n">
        <x:f>I19*(1+(Assumptions!$B$35-(2-1)*(Assumptions!$B$35-Assumptions!$B$26)/9))</x:f>
        <x:v>0</x:v>
      </x:c>
      <x:c r="K19" s="92" t="n">
        <x:f>J19*(1+(Assumptions!$B$35-(3-1)*(Assumptions!$B$35-Assumptions!$B$26)/9))</x:f>
        <x:v>0</x:v>
      </x:c>
      <x:c r="L19" s="92" t="n">
        <x:f>K19*(1+(Assumptions!$B$35-(4-1)*(Assumptions!$B$35-Assumptions!$B$26)/9))</x:f>
        <x:v>0</x:v>
      </x:c>
      <x:c r="M19" s="92" t="n">
        <x:f>L19*(1+(Assumptions!$B$35-(5-1)*(Assumptions!$B$35-Assumptions!$B$26)/9))</x:f>
        <x:v>0</x:v>
      </x:c>
      <x:c r="N19" s="92" t="n">
        <x:f>M19*(1+(Assumptions!$B$35-(6-1)*(Assumptions!$B$35-Assumptions!$B$26)/9))</x:f>
        <x:v>0</x:v>
      </x:c>
      <x:c r="O19" s="92" t="n">
        <x:f>N19*(1+(Assumptions!$B$35-(7-1)*(Assumptions!$B$35-Assumptions!$B$26)/9))</x:f>
        <x:v>0</x:v>
      </x:c>
      <x:c r="P19" s="92" t="n">
        <x:f>O19*(1+(Assumptions!$B$35-(8-1)*(Assumptions!$B$35-Assumptions!$B$26)/9))</x:f>
        <x:v>0</x:v>
      </x:c>
      <x:c r="Q19" s="92" t="n">
        <x:f>P19*(1+(Assumptions!$B$35-(9-1)*(Assumptions!$B$35-Assumptions!$B$26)/9))</x:f>
        <x:v>0</x:v>
      </x:c>
      <x:c r="R19" s="92" t="n">
        <x:f>Q19*(1+(Assumptions!$B$35-(10-1)*(Assumptions!$B$35-Assumptions!$B$26)/9))</x:f>
        <x:v>0</x:v>
      </x:c>
      <x:c r="S19" s="92" t="n">
        <x:f>IFERROR(R19*(1+Assumptions!$D$35)/(Assumptions!$C$35-Assumptions!$D$35),"")</x:f>
        <x:v>0</x:v>
      </x:c>
    </x:row>
    <x:row r="20">
      <x:c r="A20" s="31" t="str">
        <x:v>Bull</x:v>
      </x:c>
      <x:c r="B20" s="98" t="str">
        <x:f>IFERROR((I20/(1+Assumptions!$C$36)^1+J20/(1+Assumptions!$C$36)^2+K20/(1+Assumptions!$C$36)^3+L20/(1+Assumptions!$C$36)^4+M20/(1+Assumptions!$C$36)^5+N20/(1+Assumptions!$C$36)^6+O20/(1+Assumptions!$C$36)^7+P20/(1+Assumptions!$C$36)^8+Q20/(1+Assumptions!$C$36)^9+R20/(1+Assumptions!$C$36)^10+S20/(1+Assumptions!$C$36)^10+Assumptions!$B$18+Assumptions!$B$19)/Assumptions!$B$8,"")</x:f>
      </x:c>
      <x:c r="C20" s="99" t="n">
        <x:f>Assumptions!D37</x:f>
        <x:v>0.25</x:v>
      </x:c>
      <x:c r="D20" s="98" t="n">
        <x:f>B20*C20</x:f>
        <x:v>0</x:v>
      </x:c>
      <x:c r="E20" s="99" t="str">
        <x:f>IFERROR((B20-Assumptions!B7)/B20,"")</x:f>
      </x:c>
      <x:c r="F20" s="31"/>
      <x:c r="G20" s="31" t="str">
        <x:v>Bull</x:v>
      </x:c>
      <x:c r="H20" s="92" t="str">
        <x:f>'Owner Earnings'!B18</x:f>
      </x:c>
      <x:c r="I20" s="92" t="n">
        <x:f>H20*(1+(Assumptions!$B$36-(1-1)*(Assumptions!$B$36-Assumptions!$B$26)/9))</x:f>
        <x:v>0</x:v>
      </x:c>
      <x:c r="J20" s="92" t="n">
        <x:f>I20*(1+(Assumptions!$B$36-(2-1)*(Assumptions!$B$36-Assumptions!$B$26)/9))</x:f>
        <x:v>0</x:v>
      </x:c>
      <x:c r="K20" s="92" t="n">
        <x:f>J20*(1+(Assumptions!$B$36-(3-1)*(Assumptions!$B$36-Assumptions!$B$26)/9))</x:f>
        <x:v>0</x:v>
      </x:c>
      <x:c r="L20" s="92" t="n">
        <x:f>K20*(1+(Assumptions!$B$36-(4-1)*(Assumptions!$B$36-Assumptions!$B$26)/9))</x:f>
        <x:v>0</x:v>
      </x:c>
      <x:c r="M20" s="92" t="n">
        <x:f>L20*(1+(Assumptions!$B$36-(5-1)*(Assumptions!$B$36-Assumptions!$B$26)/9))</x:f>
        <x:v>0</x:v>
      </x:c>
      <x:c r="N20" s="92" t="n">
        <x:f>M20*(1+(Assumptions!$B$36-(6-1)*(Assumptions!$B$36-Assumptions!$B$26)/9))</x:f>
        <x:v>0</x:v>
      </x:c>
      <x:c r="O20" s="92" t="n">
        <x:f>N20*(1+(Assumptions!$B$36-(7-1)*(Assumptions!$B$36-Assumptions!$B$26)/9))</x:f>
        <x:v>0</x:v>
      </x:c>
      <x:c r="P20" s="92" t="n">
        <x:f>O20*(1+(Assumptions!$B$36-(8-1)*(Assumptions!$B$36-Assumptions!$B$26)/9))</x:f>
        <x:v>0</x:v>
      </x:c>
      <x:c r="Q20" s="92" t="n">
        <x:f>P20*(1+(Assumptions!$B$36-(9-1)*(Assumptions!$B$36-Assumptions!$B$26)/9))</x:f>
        <x:v>0</x:v>
      </x:c>
      <x:c r="R20" s="92" t="n">
        <x:f>Q20*(1+(Assumptions!$B$36-(10-1)*(Assumptions!$B$36-Assumptions!$B$26)/9))</x:f>
        <x:v>0</x:v>
      </x:c>
      <x:c r="S20" s="92" t="n">
        <x:f>IFERROR(R20*(1+Assumptions!$D$36)/(Assumptions!$C$36-Assumptions!$D$36),"")</x:f>
        <x:v>0</x:v>
      </x:c>
    </x:row>
    <x:row r="21">
      <x:c r="A21" s="31" t="str">
        <x:v>Probability-weighted value</x:v>
      </x:c>
      <x:c r="B21" s="98" t="n">
        <x:f>SUM(D18:D20)</x:f>
        <x:v>0</x:v>
      </x:c>
      <x:c r="C21" s="116" t="str"/>
      <x:c r="D21" s="98" t="n">
        <x:f>B21</x:f>
        <x:v>0</x:v>
      </x:c>
      <x:c r="E21" s="99" t="str">
        <x:f>IFERROR((B21-Assumptions!B7)/B21,"")</x:f>
      </x:c>
      <x:c r="F21" s="31"/>
      <x:c r="G21" s="31"/>
      <x:c r="H21" s="31"/>
      <x:c r="I21" s="3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 s="31"/>
      <x:c r="L23" s="31"/>
      <x:c r="M23" s="31"/>
      <x:c r="N23" s="31"/>
      <x:c r="O23" s="31"/>
      <x:c r="P23" s="31"/>
      <x:c r="Q23" s="31"/>
      <x:c r="R23" s="31"/>
      <x:c r="S23" s="31"/>
    </x:row>
    <x:row r="24" ht="20" customHeight="1">
      <x:c r="A24" s="32" t="str">
        <x:v>Valuation Cross-Checks</x:v>
      </x:c>
      <x:c r="B24" s="31"/>
      <x:c r="C24" s="31"/>
      <x:c r="D24" s="31"/>
      <x:c r="E24" s="31"/>
      <x:c r="F24" s="31"/>
      <x:c r="G24" s="31"/>
      <x:c r="H24" s="31"/>
      <x:c r="I24" s="31"/>
      <x:c r="J24" s="31"/>
      <x:c r="K24" s="31"/>
      <x:c r="L24" s="31"/>
      <x:c r="M24" s="31"/>
      <x:c r="N24" s="31"/>
      <x:c r="O24" s="31"/>
      <x:c r="P24" s="31"/>
      <x:c r="Q24" s="31"/>
      <x:c r="R24" s="31"/>
      <x:c r="S24" s="31"/>
    </x:row>
    <x:row r="25">
      <x:c r="A25" s="15" t="str">
        <x:v>Metric</x:v>
      </x:c>
      <x:c r="B25" s="15" t="str">
        <x:v>Value</x:v>
      </x:c>
      <x:c r="C25" s="15" t="str">
        <x:v>Interpretation</x:v>
      </x:c>
      <x:c r="D25" s="31"/>
      <x:c r="E25" s="31"/>
      <x:c r="F25" s="31"/>
      <x:c r="G25" s="31"/>
      <x:c r="H25" s="31"/>
      <x:c r="I25" s="31"/>
      <x:c r="J25" s="31"/>
      <x:c r="K25" s="31"/>
      <x:c r="L25" s="31"/>
      <x:c r="M25" s="31"/>
      <x:c r="N25" s="31"/>
      <x:c r="O25" s="31"/>
      <x:c r="P25" s="31"/>
      <x:c r="Q25" s="31"/>
      <x:c r="R25" s="31"/>
      <x:c r="S25" s="31"/>
    </x:row>
    <x:row r="26">
      <x:c r="A26" s="31" t="str">
        <x:v>No-growth earning power value/share</x:v>
      </x:c>
      <x:c r="B26" s="98" t="n">
        <x:f>'Owner Earnings'!B21</x:f>
        <x:v>0</x:v>
      </x:c>
      <x:c r="C26" s="31" t="str">
        <x:v>Normalized OE/share ÷ discount rate</x:v>
      </x:c>
      <x:c r="D26" s="31"/>
      <x:c r="E26" s="31"/>
      <x:c r="F26" s="31"/>
      <x:c r="G26" s="31"/>
      <x:c r="H26" s="31"/>
      <x:c r="I26" s="31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</x:row>
    <x:row r="27">
      <x:c r="A27" s="31" t="str">
        <x:v>DCF intrinsic value/share</x:v>
      </x:c>
      <x:c r="B27" s="98" t="n">
        <x:f>M13</x:f>
        <x:v>0</x:v>
      </x:c>
      <x:c r="C27" s="31" t="str">
        <x:v>Base-case forecast and terminal value</x:v>
      </x:c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</x:row>
    <x:row r="28">
      <x:c r="A28" s="31" t="str">
        <x:v>Probability-weighted value/share</x:v>
      </x:c>
      <x:c r="B28" s="98" t="n">
        <x:f>B21</x:f>
        <x:v>0</x:v>
      </x:c>
      <x:c r="C28" s="31" t="str">
        <x:v>Bear/base/bull weighted value</x:v>
      </x:c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</x:row>
    <x:row r="29">
      <x:c r="A29" s="31" t="str">
        <x:v>Buy price at target margin of safety</x:v>
      </x:c>
      <x:c r="B29" s="98" t="n">
        <x:f>B27*(1-Assumptions!B20)</x:f>
        <x:v>0</x:v>
      </x:c>
      <x:c r="C29" s="31" t="str">
        <x:v>Base DCF value × (1 − MOS target)</x:v>
      </x:c>
      <x:c r="D29" s="31"/>
      <x:c r="E29" s="31"/>
      <x:c r="F29" s="31"/>
      <x:c r="G29" s="31"/>
      <x:c r="H29" s="31"/>
      <x:c r="I29" s="31"/>
      <x:c r="J29" s="31"/>
      <x:c r="K29" s="31"/>
      <x:c r="L29" s="31"/>
      <x:c r="M29" s="31"/>
      <x:c r="N29" s="31"/>
      <x:c r="O29" s="31"/>
      <x:c r="P29" s="31"/>
      <x:c r="Q29" s="31"/>
      <x:c r="R29" s="31"/>
      <x:c r="S29" s="31"/>
    </x:row>
    <x:row r="30">
      <x:c r="A30" s="31" t="str">
        <x:v>Current price</x:v>
      </x:c>
      <x:c r="B30" s="98" t="str">
        <x:f>Assumptions!B7</x:f>
      </x:c>
      <x:c r="C30" s="31" t="str">
        <x:v>From Assumptions</x:v>
      </x:c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31"/>
      <x:c r="R30" s="31"/>
      <x:c r="S30" s="31"/>
    </x:row>
    <x:row r="31">
      <x:c r="A31" s="31" t="str">
        <x:v>Upside / (downside) to base value</x:v>
      </x:c>
      <x:c r="B31" s="99" t="str">
        <x:f>IFERROR(B27/B30-1,"")</x:f>
      </x:c>
      <x:c r="C31" s="31" t="str">
        <x:v>Base value ÷ price − 1</x:v>
      </x:c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31"/>
      <x:c r="R31" s="31"/>
      <x:c r="S31" s="31"/>
    </x:row>
    <x:row r="32">
      <x:c r="A32" s="31" t="str">
        <x:v>Current owner earnings yield</x:v>
      </x:c>
      <x:c r="B32" s="99" t="str">
        <x:f>'Owner Earnings'!B22</x:f>
      </x:c>
      <x:c r="C32" s="31" t="str">
        <x:v>Normalized OE/share ÷ current price</x:v>
      </x:c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31"/>
      <x:c r="R32" s="31"/>
      <x:c r="S32" s="31"/>
    </x:row>
    <x:row r="33">
      <x:c r="A33" s="31" t="str">
        <x:v>Implied P/OE multiple</x:v>
      </x:c>
      <x:c r="B33" s="100" t="str">
        <x:f>'Owner Earnings'!B23</x:f>
      </x:c>
      <x:c r="C33" s="31" t="str">
        <x:v>Price ÷ normalized OE/share</x:v>
      </x:c>
      <x:c r="D33" s="31"/>
      <x:c r="E33" s="31"/>
      <x:c r="F33" s="31"/>
      <x:c r="G33" s="31"/>
      <x:c r="H33" s="31"/>
      <x:c r="I33" s="31"/>
      <x:c r="J33" s="31"/>
      <x:c r="K33" s="31"/>
      <x:c r="L33" s="31"/>
      <x:c r="M33" s="31"/>
      <x:c r="N33" s="31"/>
      <x:c r="O33" s="31"/>
      <x:c r="P33" s="31"/>
      <x:c r="Q33" s="31"/>
      <x:c r="R33" s="31"/>
      <x:c r="S33" s="31"/>
    </x:row>
    <x:row r="34">
      <x:c r="A34" s="31"/>
      <x:c r="B34" s="31"/>
      <x:c r="C34" s="31"/>
      <x:c r="D34" s="31"/>
      <x:c r="E34" s="31"/>
      <x:c r="F34" s="31"/>
      <x:c r="G34" s="31"/>
      <x:c r="H34" s="31"/>
      <x:c r="I34" s="31"/>
      <x:c r="J34" s="31"/>
      <x:c r="K34" s="31"/>
      <x:c r="L34" s="31"/>
      <x:c r="M34" s="31"/>
      <x:c r="N34" s="31"/>
      <x:c r="O34" s="31"/>
      <x:c r="P34" s="31"/>
      <x:c r="Q34" s="31"/>
      <x:c r="R34" s="31"/>
      <x:c r="S34" s="31"/>
    </x:row>
    <x:row r="35">
      <x:c r="A35" s="31"/>
      <x:c r="B35" s="31"/>
      <x:c r="C35" s="31"/>
      <x:c r="D35" s="31"/>
      <x:c r="E35" s="31"/>
      <x:c r="F35" s="31"/>
      <x:c r="G35" s="31"/>
      <x:c r="H35" s="31"/>
      <x:c r="I35" s="31"/>
      <x:c r="J35" s="31"/>
      <x:c r="K35" s="31"/>
      <x:c r="L35" s="31"/>
      <x:c r="M35" s="31"/>
      <x:c r="N35" s="31"/>
      <x:c r="O35" s="31"/>
      <x:c r="P35" s="31"/>
      <x:c r="Q35" s="31"/>
      <x:c r="R35" s="31"/>
      <x:c r="S35" s="31"/>
    </x:row>
    <x:row r="36">
      <x:c r="A36" s="31"/>
      <x:c r="B36" s="31"/>
      <x:c r="C36" s="31"/>
      <x:c r="D36" s="31"/>
      <x:c r="E36" s="31"/>
      <x:c r="F36" s="31"/>
      <x:c r="G36" s="31"/>
      <x:c r="H36" s="31"/>
      <x:c r="I36" s="31"/>
      <x:c r="J36" s="31"/>
      <x:c r="K36" s="31"/>
      <x:c r="L36" s="31"/>
      <x:c r="M36" s="31"/>
      <x:c r="N36" s="31"/>
      <x:c r="O36" s="31"/>
      <x:c r="P36" s="31"/>
      <x:c r="Q36" s="31"/>
      <x:c r="R36" s="31"/>
      <x:c r="S36" s="31"/>
    </x:row>
    <x:row r="37">
      <x:c r="A37" s="31"/>
      <x:c r="B37" s="31"/>
      <x:c r="C37" s="31"/>
      <x:c r="D37" s="31"/>
      <x:c r="E37" s="31"/>
      <x:c r="F37" s="31"/>
      <x:c r="G37" s="31"/>
      <x:c r="H37" s="31"/>
      <x:c r="I37" s="31"/>
      <x:c r="J37" s="31"/>
      <x:c r="K37" s="31"/>
      <x:c r="L37" s="31"/>
      <x:c r="M37" s="31"/>
      <x:c r="N37" s="31"/>
      <x:c r="O37" s="31"/>
      <x:c r="P37" s="31"/>
      <x:c r="Q37" s="31"/>
      <x:c r="R37" s="31"/>
      <x:c r="S37" s="31"/>
    </x:row>
    <x:row r="38">
      <x:c r="A38" s="31"/>
      <x:c r="B38" s="31"/>
      <x:c r="C38" s="31"/>
      <x:c r="D38" s="31"/>
      <x:c r="E38" s="31"/>
      <x:c r="F38" s="31"/>
      <x:c r="G38" s="31"/>
      <x:c r="H38" s="31"/>
      <x:c r="I38" s="31"/>
      <x:c r="J38" s="31"/>
      <x:c r="K38" s="31"/>
      <x:c r="L38" s="31"/>
      <x:c r="M38" s="31"/>
      <x:c r="N38" s="31"/>
      <x:c r="O38" s="31"/>
      <x:c r="P38" s="31"/>
      <x:c r="Q38" s="31"/>
      <x:c r="R38" s="31"/>
      <x:c r="S38" s="31"/>
    </x:row>
    <x:row r="39">
      <x:c r="A39" s="31"/>
      <x:c r="B39" s="31"/>
      <x:c r="C39" s="31"/>
      <x:c r="D39" s="31"/>
      <x:c r="E39" s="31"/>
      <x:c r="F39" s="31"/>
      <x:c r="G39" s="31"/>
      <x:c r="H39" s="31"/>
      <x:c r="I39" s="31"/>
      <x:c r="J39" s="31"/>
      <x:c r="K39" s="31"/>
      <x:c r="L39" s="31"/>
      <x:c r="M39" s="31"/>
      <x:c r="N39" s="31"/>
      <x:c r="O39" s="31"/>
      <x:c r="P39" s="31"/>
      <x:c r="Q39" s="31"/>
      <x:c r="R39" s="31"/>
      <x:c r="S39" s="31"/>
    </x:row>
    <x:row r="40">
      <x:c r="A40" s="31"/>
      <x:c r="B40" s="31"/>
      <x:c r="C40" s="31"/>
      <x:c r="D40" s="31"/>
      <x:c r="E40" s="31"/>
      <x:c r="F40" s="31"/>
      <x:c r="G40" s="31"/>
      <x:c r="H40" s="31"/>
      <x:c r="I40" s="31"/>
      <x:c r="J40" s="31"/>
      <x:c r="K40" s="31"/>
      <x:c r="L40" s="31"/>
      <x:c r="M40" s="31"/>
      <x:c r="N40" s="31"/>
      <x:c r="O40" s="31"/>
      <x:c r="P40" s="31"/>
      <x:c r="Q40" s="31"/>
      <x:c r="R40" s="31"/>
      <x:c r="S40" s="31"/>
    </x:row>
  </x:sheetData>
  <x:mergeCells>
    <x:mergeCell ref="A1:M1"/>
    <x:mergeCell ref="A3:M3"/>
    <x:mergeCell ref="A16:M16"/>
    <x:mergeCell ref="A24:M24"/>
  </x:mergeCells>
  <x:pageMargins left="0.7" right="0.7" top="0.75" bottom="0.75" header="0.3" footer="0.3"/>
  <x:drawing xmlns:r="http://schemas.openxmlformats.org/officeDocument/2006/relationships" r:id="Re7ba8232ba264dfe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3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30" t="str">
        <x:v>Buffett–Munger Valuation Dashboard</x:v>
      </x:c>
      <x:c r="B1" s="31"/>
      <x:c r="C1" s="31"/>
      <x:c r="D1" s="31"/>
      <x:c r="E1" s="31"/>
      <x:c r="F1" s="31"/>
      <x:c r="G1" s="31"/>
      <x:c r="H1" s="31"/>
    </x:row>
    <x:row r="2">
      <x:c r="A2" s="31"/>
      <x:c r="B2" s="31"/>
      <x:c r="C2" s="31"/>
      <x:c r="D2" s="31"/>
      <x:c r="E2" s="31"/>
      <x:c r="F2" s="31"/>
      <x:c r="G2" s="31"/>
      <x:c r="H2" s="31"/>
    </x:row>
    <x:row r="3" ht="20" customHeight="1">
      <x:c r="A3" s="32" t="str">
        <x:v>Company Snapshot</x:v>
      </x:c>
      <x:c r="B3" s="31"/>
      <x:c r="C3" s="31"/>
      <x:c r="D3" s="31"/>
      <x:c r="E3" s="31"/>
      <x:c r="F3" s="31"/>
      <x:c r="G3" s="31"/>
      <x:c r="H3" s="31"/>
    </x:row>
    <x:row r="4">
      <x:c r="A4" s="15" t="str">
        <x:v>Metric</x:v>
      </x:c>
      <x:c r="B4" s="15" t="str">
        <x:v>Value</x:v>
      </x:c>
      <x:c r="C4" s="15" t="str">
        <x:v>Metric</x:v>
      </x:c>
      <x:c r="D4" s="15" t="str">
        <x:v>Value</x:v>
      </x:c>
      <x:c r="E4" s="31"/>
      <x:c r="F4" s="31"/>
      <x:c r="G4" s="31"/>
      <x:c r="H4" s="31"/>
    </x:row>
    <x:row r="5">
      <x:c r="A5" s="31" t="str">
        <x:v>Company</x:v>
      </x:c>
      <x:c r="B5" s="140" t="str">
        <x:f>Assumptions!B6</x:f>
      </x:c>
      <x:c r="C5" s="140" t="str">
        <x:v>Ticker</x:v>
      </x:c>
      <x:c r="D5" s="140" t="str">
        <x:f>Assumptions!B5</x:f>
      </x:c>
      <x:c r="E5" s="31"/>
      <x:c r="F5" s="31"/>
      <x:c r="G5" s="31"/>
      <x:c r="H5" s="31"/>
    </x:row>
    <x:row r="6">
      <x:c r="A6" s="31" t="str">
        <x:v>Current price</x:v>
      </x:c>
      <x:c r="B6" s="95" t="str">
        <x:f>Assumptions!B7</x:f>
      </x:c>
      <x:c r="C6" s="140" t="str">
        <x:v>Market cap ($mm)</x:v>
      </x:c>
      <x:c r="D6" s="92" t="str">
        <x:f>Assumptions!B9</x:f>
      </x:c>
      <x:c r="E6" s="31"/>
      <x:c r="F6" s="31"/>
      <x:c r="G6" s="31"/>
      <x:c r="H6" s="31"/>
    </x:row>
    <x:row r="7">
      <x:c r="A7" s="31" t="str">
        <x:v>Normalized owner earnings/share</x:v>
      </x:c>
      <x:c r="B7" s="95" t="str">
        <x:f>'Owner Earnings'!B20</x:f>
      </x:c>
      <x:c r="C7" s="140" t="str">
        <x:v>Current OE yield</x:v>
      </x:c>
      <x:c r="D7" s="96" t="str">
        <x:f>'Owner Earnings'!B22</x:f>
      </x:c>
      <x:c r="E7" s="31"/>
      <x:c r="F7" s="31"/>
      <x:c r="G7" s="31"/>
      <x:c r="H7" s="31"/>
    </x:row>
    <x:row r="8">
      <x:c r="A8" s="31" t="str">
        <x:v>Base intrinsic value/share</x:v>
      </x:c>
      <x:c r="B8" s="95" t="n">
        <x:f>DCF!B27</x:f>
        <x:v>0</x:v>
      </x:c>
      <x:c r="C8" s="140" t="str">
        <x:v>Probability-weighted value/share</x:v>
      </x:c>
      <x:c r="D8" s="95" t="n">
        <x:f>DCF!B28</x:f>
        <x:v>0</x:v>
      </x:c>
      <x:c r="E8" s="31"/>
      <x:c r="F8" s="31"/>
      <x:c r="G8" s="31"/>
      <x:c r="H8" s="31"/>
    </x:row>
    <x:row r="9">
      <x:c r="A9" s="31" t="str">
        <x:v>Target buy price</x:v>
      </x:c>
      <x:c r="B9" s="96" t="n">
        <x:f>DCF!B29</x:f>
        <x:v>0</x:v>
      </x:c>
      <x:c r="C9" s="96" t="str">
        <x:v>Margin of safety at current price</x:v>
      </x:c>
      <x:c r="D9" s="96" t="str">
        <x:f>IFERROR((B8-B6)/B8,"")</x:f>
      </x:c>
      <x:c r="E9" s="31"/>
      <x:c r="F9" s="31"/>
      <x:c r="G9" s="31"/>
      <x:c r="H9" s="31"/>
    </x:row>
    <x:row r="10">
      <x:c r="A10" s="31" t="str">
        <x:v>Quality score</x:v>
      </x:c>
      <x:c r="B10" s="96" t="n">
        <x:f>Quality!B29</x:f>
        <x:v>0</x:v>
      </x:c>
      <x:c r="C10" s="96" t="str">
        <x:v>Quality interpretation</x:v>
      </x:c>
      <x:c r="D10" s="96" t="n">
        <x:f>Quality!B30</x:f>
        <x:v>0</x:v>
      </x:c>
      <x:c r="E10" s="31"/>
      <x:c r="F10" s="31"/>
      <x:c r="G10" s="31"/>
      <x:c r="H10" s="31"/>
    </x:row>
    <x:row r="11">
      <x:c r="A11" s="31"/>
      <x:c r="B11" s="31"/>
      <x:c r="C11" s="31"/>
      <x:c r="D11" s="31"/>
      <x:c r="E11" s="31"/>
      <x:c r="F11" s="31"/>
      <x:c r="G11" s="31"/>
      <x:c r="H11" s="31"/>
    </x:row>
    <x:row r="12">
      <x:c r="A12" s="31"/>
      <x:c r="B12" s="31"/>
      <x:c r="C12" s="31"/>
      <x:c r="D12" s="31"/>
      <x:c r="E12" s="31"/>
      <x:c r="F12" s="31"/>
      <x:c r="G12" s="31"/>
      <x:c r="H12" s="31"/>
    </x:row>
    <x:row r="13" ht="20" customHeight="1">
      <x:c r="A13" s="32" t="str">
        <x:v>Decision Framework</x:v>
      </x:c>
      <x:c r="B13" s="31"/>
      <x:c r="C13" s="31"/>
      <x:c r="D13" s="31"/>
      <x:c r="E13" s="31"/>
      <x:c r="F13" s="31"/>
      <x:c r="G13" s="31"/>
      <x:c r="H13" s="31"/>
    </x:row>
    <x:row r="14">
      <x:c r="A14" s="15" t="str">
        <x:v>Question</x:v>
      </x:c>
      <x:c r="B14" s="15" t="str">
        <x:v>Result</x:v>
      </x:c>
      <x:c r="C14" s="15" t="str">
        <x:v>Rule of thumb</x:v>
      </x:c>
      <x:c r="D14" s="15" t="str">
        <x:v>Status</x:v>
      </x:c>
      <x:c r="E14" s="31"/>
      <x:c r="F14" s="31"/>
      <x:c r="G14" s="31"/>
      <x:c r="H14" s="31"/>
    </x:row>
    <x:row r="15">
      <x:c r="A15" s="31" t="str">
        <x:v>Is the business earning attractive returns on capital?</x:v>
      </x:c>
      <x:c r="B15" s="96" t="str">
        <x:f>Quality!B22</x:f>
      </x:c>
      <x:c r="C15" s="140" t="str">
        <x:v>Average ROIC ≥ 15%</x:v>
      </x:c>
      <x:c r="D15" s="140" t="str">
        <x:f>IF(B15="","",IF(B15&gt;=15%,"PASS","REVIEW"))</x:f>
      </x:c>
      <x:c r="E15" s="31"/>
      <x:c r="F15" s="31"/>
      <x:c r="G15" s="31"/>
      <x:c r="H15" s="31"/>
    </x:row>
    <x:row r="16">
      <x:c r="A16" s="31" t="str">
        <x:v>Is owner earnings growing?</x:v>
      </x:c>
      <x:c r="B16" s="96" t="str">
        <x:f>Quality!B21</x:f>
      </x:c>
      <x:c r="C16" s="140" t="str">
        <x:v>5Y OE CAGR ≥ 5%</x:v>
      </x:c>
      <x:c r="D16" s="140" t="str">
        <x:f>IF(B16="","",IF(B16&gt;=5%,"PASS","REVIEW"))</x:f>
      </x:c>
      <x:c r="E16" s="31"/>
      <x:c r="F16" s="31"/>
      <x:c r="G16" s="31"/>
      <x:c r="H16" s="31"/>
    </x:row>
    <x:row r="17">
      <x:c r="A17" s="31" t="str">
        <x:v>Is leverage manageable?</x:v>
      </x:c>
      <x:c r="B17" s="97" t="n">
        <x:f>Quality!B25</x:f>
        <x:v>0</x:v>
      </x:c>
      <x:c r="C17" s="140" t="str">
        <x:v>Debt / OE ≤ 3.0x</x:v>
      </x:c>
      <x:c r="D17" s="140" t="str">
        <x:f>IF(B17="","",IF(B17&lt;=3,"PASS","REVIEW"))</x:f>
      </x:c>
      <x:c r="E17" s="31"/>
      <x:c r="F17" s="31"/>
      <x:c r="G17" s="31"/>
      <x:c r="H17" s="31"/>
    </x:row>
    <x:row r="18">
      <x:c r="A18" s="31" t="str">
        <x:v>Is interest coverage comfortable?</x:v>
      </x:c>
      <x:c r="B18" s="97" t="str">
        <x:f>Quality!B24</x:f>
      </x:c>
      <x:c r="C18" s="140" t="str">
        <x:v>Average ≥ 8.0x</x:v>
      </x:c>
      <x:c r="D18" s="140" t="str">
        <x:f>IF(B18="","",IF(B18&gt;=8,"PASS","REVIEW"))</x:f>
      </x:c>
      <x:c r="E18" s="31"/>
      <x:c r="F18" s="31"/>
      <x:c r="G18" s="31"/>
      <x:c r="H18" s="31"/>
    </x:row>
    <x:row r="19">
      <x:c r="A19" s="31" t="str">
        <x:v>Is dilution controlled?</x:v>
      </x:c>
      <x:c r="B19" s="96" t="str">
        <x:f>Quality!B26</x:f>
      </x:c>
      <x:c r="C19" s="140" t="str">
        <x:v>Share count CAGR ≤ 0%</x:v>
      </x:c>
      <x:c r="D19" s="140" t="str">
        <x:f>IF(B19="","",IF(B19&lt;=0,"PASS","REVIEW"))</x:f>
      </x:c>
      <x:c r="E19" s="31"/>
      <x:c r="F19" s="31"/>
      <x:c r="G19" s="31"/>
      <x:c r="H19" s="31"/>
    </x:row>
    <x:row r="20">
      <x:c r="A20" s="31" t="str">
        <x:v>Is owner earnings positive and recurring?</x:v>
      </x:c>
      <x:c r="B20" s="140" t="n">
        <x:f>Quality!B27</x:f>
        <x:v>0</x:v>
      </x:c>
      <x:c r="C20" s="140" t="str">
        <x:v>Positive in all 5 years</x:v>
      </x:c>
      <x:c r="D20" s="140" t="str">
        <x:f>IF(B20="","",IF(B20=1,"PASS","REVIEW"))</x:f>
      </x:c>
      <x:c r="E20" s="31"/>
      <x:c r="F20" s="31"/>
      <x:c r="G20" s="31"/>
      <x:c r="H20" s="31"/>
    </x:row>
    <x:row r="21">
      <x:c r="A21" s="31" t="str">
        <x:v>Is price below base intrinsic value?</x:v>
      </x:c>
      <x:c r="B21" s="140" t="b">
        <x:f>Assumptions!B7&lt;DCF!B27</x:f>
        <x:v>0</x:v>
      </x:c>
      <x:c r="C21" s="140" t="str">
        <x:v>Current price &lt; base value</x:v>
      </x:c>
      <x:c r="D21" s="140" t="str">
        <x:f>IF(OR(Assumptions!B7="",DCF!B27=""),"",IF(B21,"PASS","REVIEW"))</x:f>
      </x:c>
      <x:c r="E21" s="31"/>
      <x:c r="F21" s="31"/>
      <x:c r="G21" s="31"/>
      <x:c r="H21" s="31"/>
    </x:row>
    <x:row r="22">
      <x:c r="A22" s="31" t="str">
        <x:v>Does price meet margin-of-safety target?</x:v>
      </x:c>
      <x:c r="B22" s="140" t="b">
        <x:f>Assumptions!B7&lt;=DCF!B29</x:f>
        <x:v>1</x:v>
      </x:c>
      <x:c r="C22" s="140" t="str">
        <x:v>Current price ≤ target buy price</x:v>
      </x:c>
      <x:c r="D22" s="140" t="str">
        <x:f>IF(OR(Assumptions!B7="",DCF!B29=""),"",IF(B22,"PASS","REVIEW"))</x:f>
      </x:c>
      <x:c r="E22" s="31"/>
      <x:c r="F22" s="31"/>
      <x:c r="G22" s="31"/>
      <x:c r="H22" s="31"/>
    </x:row>
    <x:row r="23">
      <x:c r="A23" s="31" t="str">
        <x:v>Overall</x:v>
      </x:c>
      <x:c r="B23" s="96" t="n">
        <x:f>IF(COUNTA(D15:D22)=0,"",COUNTIF(D15:D22,"PASS")/COUNTA(D15:D22))</x:f>
        <x:v>0</x:v>
      </x:c>
      <x:c r="C23" s="140" t="str">
        <x:v>Quality + valuation</x:v>
      </x:c>
      <x:c r="D23" s="140" t="str">
        <x:f>IF(B23="","",IF(B23&gt;=75%,"ATTRACTIVE / VERIFY",IF(B23&gt;=50%,"MIXED / INVESTIGATE","UNATTRACTIVE / REVIEW")))</x:f>
      </x:c>
      <x:c r="E23" s="31"/>
      <x:c r="F23" s="31"/>
      <x:c r="G23" s="31"/>
      <x:c r="H23" s="31"/>
    </x:row>
    <x:row r="24">
      <x:c r="A24" s="31"/>
      <x:c r="B24" s="31"/>
      <x:c r="C24" s="31"/>
      <x:c r="D24" s="31"/>
      <x:c r="E24" s="31"/>
      <x:c r="F24" s="31"/>
      <x:c r="G24" s="31"/>
      <x:c r="H24" s="31"/>
    </x:row>
    <x:row r="25">
      <x:c r="A25" s="31"/>
      <x:c r="B25" s="31"/>
      <x:c r="C25" s="31"/>
      <x:c r="D25" s="31"/>
      <x:c r="E25" s="31"/>
      <x:c r="F25" s="31"/>
      <x:c r="G25" s="31"/>
      <x:c r="H25" s="31"/>
    </x:row>
    <x:row r="26" ht="20" customHeight="1">
      <x:c r="A26" s="32" t="str">
        <x:v>Key Caveats</x:v>
      </x:c>
      <x:c r="B26" s="31"/>
      <x:c r="C26" s="31"/>
      <x:c r="D26" s="31"/>
      <x:c r="E26" s="31"/>
      <x:c r="F26" s="31"/>
      <x:c r="G26" s="31"/>
      <x:c r="H26" s="31"/>
    </x:row>
    <x:row r="27">
      <x:c r="A27" s="31" t="str">
        <x:v>1</x:v>
      </x:c>
      <x:c r="B27" s="31" t="str">
        <x:v>Maintenance capex is an estimate and often the most important normalization judgment.</x:v>
      </x:c>
      <x:c r="C27" s="31" t="str"/>
      <x:c r="D27" s="31" t="str"/>
      <x:c r="E27" s="31" t="str"/>
      <x:c r="F27" s="31" t="str"/>
      <x:c r="G27" s="31" t="str"/>
      <x:c r="H27" s="31" t="str"/>
    </x:row>
    <x:row r="28">
      <x:c r="A28" s="31" t="str">
        <x:v>2</x:v>
      </x:c>
      <x:c r="B28" s="31" t="str">
        <x:v>Do not pay for growth unless reinvestment economics and competitive durability support it.</x:v>
      </x:c>
      <x:c r="C28" s="31" t="str"/>
      <x:c r="D28" s="31" t="str"/>
      <x:c r="E28" s="31" t="str"/>
      <x:c r="F28" s="31" t="str"/>
      <x:c r="G28" s="31" t="str"/>
      <x:c r="H28" s="31" t="str"/>
    </x:row>
    <x:row r="29">
      <x:c r="A29" s="31" t="str">
        <x:v>3</x:v>
      </x:c>
      <x:c r="B29" s="31" t="str">
        <x:v>Discount rate is an opportunity-cost assumption; test a wide range.</x:v>
      </x:c>
      <x:c r="C29" s="31" t="str"/>
      <x:c r="D29" s="31" t="str"/>
      <x:c r="E29" s="31" t="str"/>
      <x:c r="F29" s="31" t="str"/>
      <x:c r="G29" s="31" t="str"/>
      <x:c r="H29" s="31" t="str"/>
    </x:row>
    <x:row r="30">
      <x:c r="A30" s="31" t="str">
        <x:v>4</x:v>
      </x:c>
      <x:c r="B30" s="31" t="str">
        <x:v>Terminal value can dominate a DCF. Keep terminal growth conservative and below the discount rate.</x:v>
      </x:c>
      <x:c r="C30" s="31" t="str"/>
      <x:c r="D30" s="31" t="str"/>
      <x:c r="E30" s="31" t="str"/>
      <x:c r="F30" s="31" t="str"/>
      <x:c r="G30" s="31" t="str"/>
      <x:c r="H30" s="31" t="str"/>
    </x:row>
    <x:row r="31">
      <x:c r="A31" s="31" t="str">
        <x:v>5</x:v>
      </x:c>
      <x:c r="B31" s="31" t="str">
        <x:v>Validate accounting data against annual reports and footnotes.</x:v>
      </x:c>
      <x:c r="C31" s="31" t="str"/>
      <x:c r="D31" s="31" t="str"/>
      <x:c r="E31" s="31" t="str"/>
      <x:c r="F31" s="31" t="str"/>
      <x:c r="G31" s="31" t="str"/>
      <x:c r="H31" s="31" t="str"/>
    </x:row>
    <x:row r="32">
      <x:c r="A32" s="31"/>
      <x:c r="B32" s="31"/>
      <x:c r="C32" s="31"/>
      <x:c r="D32" s="31"/>
      <x:c r="E32" s="31"/>
      <x:c r="F32" s="31"/>
      <x:c r="G32" s="31"/>
      <x:c r="H32" s="31"/>
    </x:row>
  </x:sheetData>
  <x:mergeCells>
    <x:mergeCell ref="A1:H1"/>
    <x:mergeCell ref="A3:H3"/>
    <x:mergeCell ref="A13:H13"/>
    <x:mergeCell ref="A26:H26"/>
  </x:mergeCells>
  <x:conditionalFormatting sqref="B8:B9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D9:D9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D15:D22">
    <x:cfRule type="expression" dxfId="2" priority="3">
      <x:formula>D15="PASS"</x:formula>
    </x:cfRule>
    <x:cfRule type="expression" dxfId="3" priority="4">
      <x:formula>D15="REVIEW"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24" hidden="0" customWidth="1"/>
    <x:col min="4" max="4" width="48" hidden="0" customWidth="1"/>
    <x:col min="5" max="5" width="20" hidden="0" customWidth="1"/>
    <x:col min="6" max="6" width="20" hidden="0" customWidth="1"/>
  </x:cols>
  <x:sheetData>
    <x:row r="1" ht="28" customHeight="1">
      <x:c r="A1" s="30" t="str">
        <x:v>Optional Google Sheets Setup</x:v>
      </x:c>
      <x:c r="B1" s="31"/>
      <x:c r="C1" s="31"/>
      <x:c r="D1" s="31"/>
      <x:c r="E1" s="31"/>
      <x:c r="F1" s="31"/>
    </x:row>
    <x:row r="2">
      <x:c r="A2" s="31"/>
      <x:c r="B2" s="31"/>
      <x:c r="C2" s="31"/>
      <x:c r="D2" s="31"/>
      <x:c r="E2" s="31"/>
      <x:c r="F2" s="31"/>
    </x:row>
    <x:row r="3">
      <x:c r="A3" s="15" t="str">
        <x:v>Item</x:v>
      </x:c>
      <x:c r="B3" s="15" t="str">
        <x:v>Google Sheets formula</x:v>
      </x:c>
      <x:c r="C3" s="15" t="str">
        <x:v>Where to paste</x:v>
      </x:c>
      <x:c r="D3" s="15" t="str">
        <x:v>Notes</x:v>
      </x:c>
      <x:c r="E3" s="15" t="str">
        <x:v>Works in Excel?</x:v>
      </x:c>
      <x:c r="F3" s="15" t="str">
        <x:v>Fallback</x:v>
      </x:c>
    </x:row>
    <x:row r="4">
      <x:c r="A4" s="31" t="str">
        <x:v>Current price</x:v>
      </x:c>
      <x:c r="B4" s="146" t="str">
        <x:v>=GOOGLEFINANCE(Assumptions!B5,"price")</x:v>
      </x:c>
      <x:c r="C4" s="31" t="str">
        <x:v>Assumptions!B7</x:v>
      </x:c>
      <x:c r="D4" s="31" t="str">
        <x:v>Ticker should be exchange-qualified when necessary.</x:v>
      </x:c>
      <x:c r="E4" s="31" t="str">
        <x:v>No</x:v>
      </x:c>
      <x:c r="F4" s="31" t="str">
        <x:v>Enter manually</x:v>
      </x:c>
    </x:row>
    <x:row r="5">
      <x:c r="A5" s="31" t="str">
        <x:v>Market cap</x:v>
      </x:c>
      <x:c r="B5" s="146" t="str">
        <x:v>=GOOGLEFINANCE(Assumptions!B5,"marketcap")/1000000</x:v>
      </x:c>
      <x:c r="C5" s="31" t="str">
        <x:v>Assumptions!B9</x:v>
      </x:c>
      <x:c r="D5" s="31" t="str">
        <x:v>Returns $ millions after division.</x:v>
      </x:c>
      <x:c r="E5" s="31" t="str">
        <x:v>No</x:v>
      </x:c>
      <x:c r="F5" s="31" t="str">
        <x:v>Calculated from price × shares in current workbook</x:v>
      </x:c>
    </x:row>
    <x:row r="6">
      <x:c r="A6" s="31" t="str">
        <x:v>Company name</x:v>
      </x:c>
      <x:c r="B6" s="146" t="str">
        <x:v>=GOOGLEFINANCE(Assumptions!B5,"name")</x:v>
      </x:c>
      <x:c r="C6" s="31" t="str">
        <x:v>Assumptions!B6</x:v>
      </x:c>
      <x:c r="D6" s="31" t="str">
        <x:v>May not work for every security.</x:v>
      </x:c>
      <x:c r="E6" s="31" t="str">
        <x:v>No</x:v>
      </x:c>
      <x:c r="F6" s="31" t="str">
        <x:v>Enter manually</x:v>
      </x:c>
    </x:row>
    <x:row r="7">
      <x:c r="A7" s="31" t="str">
        <x:v>52-week high</x:v>
      </x:c>
      <x:c r="B7" s="146" t="str">
        <x:v>=GOOGLEFINANCE(Assumptions!B5,"high52")</x:v>
      </x:c>
      <x:c r="C7" s="31" t="str">
        <x:v>Optional</x:v>
      </x:c>
      <x:c r="D7" s="31" t="str">
        <x:v>Useful context, not intrinsic value.</x:v>
      </x:c>
      <x:c r="E7" s="31" t="str">
        <x:v>No</x:v>
      </x:c>
      <x:c r="F7" s="31" t="str">
        <x:v>External source</x:v>
      </x:c>
    </x:row>
    <x:row r="8">
      <x:c r="A8" s="31" t="str">
        <x:v>52-week low</x:v>
      </x:c>
      <x:c r="B8" s="146" t="str">
        <x:v>=GOOGLEFINANCE(Assumptions!B5,"low52")</x:v>
      </x:c>
      <x:c r="C8" s="31" t="str">
        <x:v>Optional</x:v>
      </x:c>
      <x:c r="D8" s="31" t="str">
        <x:v>Useful context, not intrinsic value.</x:v>
      </x:c>
      <x:c r="E8" s="31" t="str">
        <x:v>No</x:v>
      </x:c>
      <x:c r="F8" s="31" t="str">
        <x:v>External source</x:v>
      </x:c>
    </x:row>
    <x:row r="9">
      <x:c r="A9" s="31" t="str">
        <x:v>Historical price</x:v>
      </x:c>
      <x:c r="B9" s="146" t="str">
        <x:v>=GOOGLEFINANCE(Assumptions!B5,"price",DATE(2021,1,1),TODAY(),"MONTHLY")</x:v>
      </x:c>
      <x:c r="C9" s="31" t="str">
        <x:v>New sheet</x:v>
      </x:c>
      <x:c r="D9" s="31" t="str">
        <x:v>Creates an array of historical prices.</x:v>
      </x:c>
      <x:c r="E9" s="31" t="str">
        <x:v>No</x:v>
      </x:c>
      <x:c r="F9" s="31" t="str">
        <x:v>Download price history</x:v>
      </x:c>
    </x:row>
    <x:row r="10">
      <x:c r="A10" s="31" t="str">
        <x:v>Financial statements</x:v>
      </x:c>
      <x:c r="B10" s="146" t="str">
        <x:v>Not available reliably through native GOOGLEFINANCE</x:v>
      </x:c>
      <x:c r="C10" s="31" t="str">
        <x:v>Historical Data</x:v>
      </x:c>
      <x:c r="D10" s="31" t="str">
        <x:v>Use annual reports, SEC filings or a trusted data provider.</x:v>
      </x:c>
      <x:c r="E10" s="31" t="str">
        <x:v>N/A</x:v>
      </x:c>
      <x:c r="F10" s="31" t="str">
        <x:v>Manual input</x:v>
      </x:c>
    </x:row>
    <x:row r="11">
      <x:c r="A11" s="31"/>
      <x:c r="B11" s="31"/>
      <x:c r="C11" s="31"/>
      <x:c r="D11" s="31"/>
      <x:c r="E11" s="31"/>
      <x:c r="F11" s="31"/>
    </x:row>
    <x:row r="12" ht="20" customHeight="1">
      <x:c r="A12" s="32" t="str">
        <x:v>Recommended Workflow</x:v>
      </x:c>
      <x:c r="B12" s="31" t="str"/>
      <x:c r="C12" s="31" t="str"/>
      <x:c r="D12" s="31" t="str"/>
      <x:c r="E12" s="31" t="str"/>
      <x:c r="F12" s="31" t="str"/>
    </x:row>
    <x:row r="13">
      <x:c r="A13" s="31" t="str">
        <x:v>1</x:v>
      </x:c>
      <x:c r="B13" s="31" t="str">
        <x:v>Upload this workbook to Google Drive and open with Google Sheets.</x:v>
      </x:c>
      <x:c r="C13" s="31" t="str"/>
      <x:c r="D13" s="31" t="str"/>
      <x:c r="E13" s="31" t="str"/>
      <x:c r="F13" s="31" t="str"/>
    </x:row>
    <x:row r="14">
      <x:c r="A14" s="31" t="str">
        <x:v>2</x:v>
      </x:c>
      <x:c r="B14" s="31" t="str">
        <x:v>Paste optional GOOGLEFINANCE formulas only where desired.</x:v>
      </x:c>
      <x:c r="C14" s="31" t="str"/>
      <x:c r="D14" s="31" t="str"/>
      <x:c r="E14" s="31" t="str"/>
      <x:c r="F14" s="31" t="str"/>
    </x:row>
    <x:row r="15">
      <x:c r="A15" s="31" t="str">
        <x:v>3</x:v>
      </x:c>
      <x:c r="B15" s="31" t="str">
        <x:v>Enter statement data manually from company filings.</x:v>
      </x:c>
      <x:c r="C15" s="31" t="str"/>
      <x:c r="D15" s="31" t="str"/>
      <x:c r="E15" s="31" t="str"/>
      <x:c r="F15" s="31" t="str"/>
    </x:row>
    <x:row r="16">
      <x:c r="A16" s="31" t="str">
        <x:v>4</x:v>
      </x:c>
      <x:c r="B16" s="31" t="str">
        <x:v>Review formulas after conversion, especially charts and conditional formats.</x:v>
      </x:c>
      <x:c r="C16" s="31" t="str"/>
      <x:c r="D16" s="31" t="str"/>
      <x:c r="E16" s="31" t="str"/>
      <x:c r="F16" s="31" t="str"/>
    </x:row>
    <x:row r="17">
      <x:c r="A17" s="31" t="str">
        <x:v>5</x:v>
      </x:c>
      <x:c r="B17" s="31" t="str">
        <x:v>Keep a source URL or filing date in the Source / Notes columns.</x:v>
      </x:c>
      <x:c r="C17" s="31" t="str"/>
      <x:c r="D17" s="31" t="str"/>
      <x:c r="E17" s="31" t="str"/>
      <x:c r="F17" s="31" t="str"/>
    </x:row>
    <x:row r="18">
      <x:c r="A18" s="31"/>
      <x:c r="B18" s="31"/>
      <x:c r="C18" s="31"/>
      <x:c r="D18" s="31"/>
      <x:c r="E18" s="31"/>
      <x:c r="F18" s="31"/>
    </x:row>
    <x:row r="19">
      <x:c r="A19" s="31"/>
      <x:c r="B19" s="31"/>
      <x:c r="C19" s="31"/>
      <x:c r="D19" s="31"/>
      <x:c r="E19" s="31"/>
      <x:c r="F19" s="31"/>
    </x:row>
    <x:row r="20">
      <x:c r="A20" s="31"/>
      <x:c r="B20" s="31"/>
      <x:c r="C20" s="31"/>
      <x:c r="D20" s="31"/>
      <x:c r="E20" s="31"/>
      <x:c r="F20" s="31"/>
    </x:row>
  </x:sheetData>
  <x:mergeCells>
    <x:mergeCell ref="A1:F1"/>
    <x:mergeCell ref="A12:F12"/>
  </x:mergeCells>
  <x:pageMargins left="0.7" right="0.7" top="0.75" bottom="0.75" header="0.3" footer="0.3"/>
</x:worksheet>
</file>